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neriabreca-my.sharepoint.com/personal/diego_ruales_minsur_com/Documents/Business Intelligence/03 Plan de Trabajo/"/>
    </mc:Choice>
  </mc:AlternateContent>
  <xr:revisionPtr revIDLastSave="2980" documentId="8_{A5E0413B-997C-405C-80E1-FA8ECC797C4B}" xr6:coauthVersionLast="47" xr6:coauthVersionMax="47" xr10:uidLastSave="{8E7B3BA4-2F0F-49AA-B3A8-9288CA91D7C3}"/>
  <bookViews>
    <workbookView xWindow="-110" yWindow="-110" windowWidth="19420" windowHeight="10420" xr2:uid="{8680B9EB-C6E5-437D-9394-48A67CC55282}"/>
  </bookViews>
  <sheets>
    <sheet name="Input" sheetId="7" r:id="rId1"/>
    <sheet name="Gantt" sheetId="6" r:id="rId2"/>
  </sheets>
  <definedNames>
    <definedName name="_xlnm._FilterDatabase" localSheetId="1" hidden="1">Gantt!$B$5:$W$15</definedName>
    <definedName name="Area">#REF!</definedName>
    <definedName name="Criteria">#REF!</definedName>
    <definedName name="Kind">#REF!</definedName>
    <definedName name="Status">#REF!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8" i="6" l="1"/>
  <c r="O9" i="6"/>
  <c r="O10" i="6"/>
  <c r="O11" i="6"/>
  <c r="O12" i="6"/>
  <c r="O13" i="6"/>
  <c r="O14" i="6"/>
  <c r="O15" i="6"/>
  <c r="F6" i="6" l="1"/>
  <c r="O6" i="6"/>
  <c r="K8" i="6"/>
  <c r="K7" i="6"/>
  <c r="K9" i="6"/>
  <c r="K10" i="6"/>
  <c r="K11" i="6"/>
  <c r="K12" i="6"/>
  <c r="K13" i="6"/>
  <c r="K14" i="6"/>
  <c r="K15" i="6"/>
  <c r="G8" i="6"/>
  <c r="G7" i="6"/>
  <c r="G9" i="6"/>
  <c r="G10" i="6"/>
  <c r="G11" i="6"/>
  <c r="G12" i="6"/>
  <c r="G13" i="6"/>
  <c r="G14" i="6"/>
  <c r="G15" i="6"/>
  <c r="K6" i="6"/>
  <c r="V15" i="6"/>
  <c r="V14" i="6"/>
  <c r="V13" i="6"/>
  <c r="V12" i="6"/>
  <c r="V11" i="6"/>
  <c r="V10" i="6"/>
  <c r="V9" i="6"/>
  <c r="V8" i="6"/>
  <c r="R15" i="6"/>
  <c r="R14" i="6"/>
  <c r="R13" i="6"/>
  <c r="R12" i="6"/>
  <c r="R11" i="6"/>
  <c r="R10" i="6"/>
  <c r="R9" i="6"/>
  <c r="R8" i="6"/>
  <c r="N15" i="6"/>
  <c r="N14" i="6"/>
  <c r="N13" i="6"/>
  <c r="N12" i="6"/>
  <c r="N11" i="6"/>
  <c r="N10" i="6"/>
  <c r="N9" i="6"/>
  <c r="N8" i="6"/>
  <c r="N6" i="6"/>
  <c r="J15" i="6"/>
  <c r="J14" i="6"/>
  <c r="J13" i="6"/>
  <c r="J12" i="6"/>
  <c r="J11" i="6"/>
  <c r="J10" i="6"/>
  <c r="J9" i="6"/>
  <c r="J7" i="6"/>
  <c r="J8" i="6"/>
  <c r="J6" i="6"/>
  <c r="F8" i="6"/>
  <c r="F7" i="6"/>
  <c r="F9" i="6"/>
  <c r="F10" i="6"/>
  <c r="F11" i="6"/>
  <c r="F12" i="6"/>
  <c r="F13" i="6"/>
  <c r="F14" i="6"/>
  <c r="F15" i="6"/>
  <c r="R6" i="6" l="1"/>
  <c r="V6" i="6"/>
  <c r="G6" i="6"/>
  <c r="N7" i="6" l="1"/>
  <c r="O7" i="6"/>
  <c r="Y5" i="6"/>
  <c r="Z5" i="6" s="1"/>
  <c r="AA5" i="6" s="1"/>
  <c r="AB5" i="6" s="1"/>
  <c r="AC5" i="6" s="1"/>
  <c r="AD5" i="6" s="1"/>
  <c r="AE5" i="6" s="1"/>
  <c r="AF5" i="6" s="1"/>
  <c r="AG5" i="6" s="1"/>
  <c r="AH5" i="6" s="1"/>
  <c r="AI5" i="6" s="1"/>
  <c r="AJ5" i="6" s="1"/>
  <c r="AK5" i="6" s="1"/>
  <c r="AL5" i="6" s="1"/>
  <c r="AM5" i="6" s="1"/>
  <c r="AN5" i="6" s="1"/>
  <c r="AO5" i="6" s="1"/>
  <c r="AP5" i="6" s="1"/>
  <c r="AQ5" i="6" s="1"/>
  <c r="AR5" i="6" s="1"/>
  <c r="AS5" i="6" s="1"/>
  <c r="AT5" i="6" s="1"/>
  <c r="AU5" i="6" s="1"/>
  <c r="AV5" i="6" s="1"/>
  <c r="AW5" i="6" s="1"/>
  <c r="AX5" i="6" s="1"/>
  <c r="AY5" i="6" s="1"/>
  <c r="AZ5" i="6" s="1"/>
  <c r="BA5" i="6" s="1"/>
  <c r="BB5" i="6" s="1"/>
  <c r="BC5" i="6" s="1"/>
  <c r="BD5" i="6" s="1"/>
  <c r="BE5" i="6" s="1"/>
  <c r="BF5" i="6" s="1"/>
  <c r="BG5" i="6" s="1"/>
  <c r="BH5" i="6" s="1"/>
  <c r="BI5" i="6" s="1"/>
  <c r="BJ5" i="6" s="1"/>
  <c r="BK5" i="6" s="1"/>
  <c r="BL5" i="6" s="1"/>
  <c r="BM5" i="6" s="1"/>
  <c r="BN5" i="6" s="1"/>
  <c r="BO5" i="6" s="1"/>
  <c r="BP5" i="6" s="1"/>
  <c r="BQ5" i="6" s="1"/>
  <c r="BR5" i="6" s="1"/>
  <c r="BS5" i="6" s="1"/>
  <c r="BT5" i="6" s="1"/>
  <c r="BU5" i="6" s="1"/>
  <c r="BV5" i="6" s="1"/>
  <c r="BW5" i="6" s="1"/>
  <c r="BX5" i="6" s="1"/>
  <c r="BY5" i="6" s="1"/>
  <c r="BZ5" i="6" s="1"/>
  <c r="CA5" i="6" s="1"/>
  <c r="CB5" i="6" s="1"/>
  <c r="CC5" i="6" s="1"/>
  <c r="CD5" i="6" s="1"/>
  <c r="CE5" i="6" s="1"/>
  <c r="CF5" i="6" s="1"/>
  <c r="CG5" i="6" s="1"/>
  <c r="CH5" i="6" s="1"/>
  <c r="CI5" i="6" s="1"/>
  <c r="CJ5" i="6" s="1"/>
  <c r="CK5" i="6" s="1"/>
  <c r="CL5" i="6" s="1"/>
  <c r="CM5" i="6" s="1"/>
  <c r="CN5" i="6" s="1"/>
  <c r="CO5" i="6" s="1"/>
  <c r="CP5" i="6" s="1"/>
  <c r="CQ5" i="6" s="1"/>
  <c r="CR5" i="6" s="1"/>
  <c r="CS5" i="6" s="1"/>
  <c r="CT5" i="6" s="1"/>
  <c r="CU5" i="6" s="1"/>
  <c r="CV5" i="6" s="1"/>
  <c r="CW5" i="6" s="1"/>
  <c r="CX5" i="6" s="1"/>
  <c r="CY5" i="6" s="1"/>
  <c r="CZ5" i="6" s="1"/>
  <c r="DA5" i="6" s="1"/>
  <c r="DB5" i="6" s="1"/>
  <c r="DC5" i="6" s="1"/>
  <c r="DD5" i="6" s="1"/>
  <c r="DE5" i="6" s="1"/>
  <c r="DF5" i="6" s="1"/>
  <c r="DG5" i="6" s="1"/>
  <c r="DH5" i="6" s="1"/>
  <c r="DI5" i="6" s="1"/>
  <c r="DJ5" i="6" s="1"/>
  <c r="DK5" i="6" s="1"/>
  <c r="DL5" i="6" s="1"/>
  <c r="DM5" i="6" s="1"/>
  <c r="DN5" i="6" s="1"/>
  <c r="DO5" i="6" s="1"/>
  <c r="DP5" i="6" s="1"/>
  <c r="DQ5" i="6" s="1"/>
  <c r="DR5" i="6" s="1"/>
  <c r="DS5" i="6" s="1"/>
  <c r="DT5" i="6" s="1"/>
  <c r="DU5" i="6" s="1"/>
  <c r="DV5" i="6" s="1"/>
  <c r="DW5" i="6" s="1"/>
  <c r="DX5" i="6" s="1"/>
  <c r="DY5" i="6" s="1"/>
  <c r="DZ5" i="6" s="1"/>
  <c r="EA5" i="6" s="1"/>
  <c r="EB5" i="6" s="1"/>
  <c r="EC5" i="6" s="1"/>
  <c r="ED5" i="6" s="1"/>
  <c r="EE5" i="6" s="1"/>
  <c r="EF5" i="6" s="1"/>
  <c r="EG5" i="6" s="1"/>
  <c r="EH5" i="6" s="1"/>
  <c r="EI5" i="6" s="1"/>
  <c r="EJ5" i="6" s="1"/>
  <c r="EK5" i="6" s="1"/>
  <c r="EL5" i="6" s="1"/>
  <c r="EM5" i="6" s="1"/>
  <c r="EN5" i="6" s="1"/>
  <c r="EO5" i="6" s="1"/>
  <c r="EP5" i="6" s="1"/>
  <c r="EQ5" i="6" s="1"/>
  <c r="ER5" i="6" s="1"/>
  <c r="ES5" i="6" s="1"/>
  <c r="ET5" i="6" s="1"/>
  <c r="EU5" i="6" s="1"/>
  <c r="EV5" i="6" s="1"/>
  <c r="EW5" i="6" s="1"/>
  <c r="EX5" i="6" s="1"/>
  <c r="EY5" i="6" s="1"/>
  <c r="EZ5" i="6" s="1"/>
  <c r="FA5" i="6" s="1"/>
  <c r="FB5" i="6" s="1"/>
  <c r="FC5" i="6" s="1"/>
  <c r="FD5" i="6" s="1"/>
  <c r="T4" i="6"/>
  <c r="P4" i="6"/>
  <c r="L4" i="6"/>
  <c r="H4" i="6"/>
  <c r="D4" i="6"/>
  <c r="FE5" i="6" l="1"/>
  <c r="FD4" i="6"/>
  <c r="AA4" i="6"/>
  <c r="Z4" i="6"/>
  <c r="AB4" i="6"/>
  <c r="AC4" i="6"/>
  <c r="Y4" i="6"/>
  <c r="V7" i="6" l="1"/>
  <c r="R7" i="6"/>
  <c r="FF5" i="6"/>
  <c r="FE4" i="6"/>
  <c r="AF4" i="6"/>
  <c r="AE4" i="6"/>
  <c r="AD4" i="6"/>
  <c r="AG4" i="6"/>
  <c r="W6" i="6"/>
  <c r="S6" i="6"/>
  <c r="S15" i="6"/>
  <c r="S14" i="6"/>
  <c r="S13" i="6"/>
  <c r="S12" i="6"/>
  <c r="S11" i="6"/>
  <c r="S10" i="6"/>
  <c r="S9" i="6"/>
  <c r="S7" i="6"/>
  <c r="S8" i="6"/>
  <c r="FG5" i="6" l="1"/>
  <c r="FF4" i="6"/>
  <c r="AH4" i="6"/>
  <c r="W10" i="6"/>
  <c r="W8" i="6"/>
  <c r="W14" i="6"/>
  <c r="W13" i="6"/>
  <c r="W9" i="6"/>
  <c r="W7" i="6"/>
  <c r="FG4" i="6" l="1"/>
  <c r="FH5" i="6"/>
  <c r="AI4" i="6"/>
  <c r="W11" i="6"/>
  <c r="W12" i="6"/>
  <c r="W15" i="6"/>
  <c r="FH4" i="6" l="1"/>
  <c r="FI5" i="6"/>
  <c r="AJ4" i="6"/>
  <c r="FI4" i="6" l="1"/>
  <c r="FJ5" i="6"/>
  <c r="AK4" i="6"/>
  <c r="FK5" i="6" l="1"/>
  <c r="FJ4" i="6"/>
  <c r="AL4" i="6"/>
  <c r="FK4" i="6" l="1"/>
  <c r="FL5" i="6"/>
  <c r="AM4" i="6"/>
  <c r="FL4" i="6" l="1"/>
  <c r="FM5" i="6"/>
  <c r="AN4" i="6"/>
  <c r="FM4" i="6" l="1"/>
  <c r="FN5" i="6"/>
  <c r="AO4" i="6"/>
  <c r="FO5" i="6" l="1"/>
  <c r="FN4" i="6"/>
  <c r="AP4" i="6"/>
  <c r="FO4" i="6" l="1"/>
  <c r="FP5" i="6"/>
  <c r="AQ4" i="6"/>
  <c r="FP4" i="6" l="1"/>
  <c r="FQ5" i="6"/>
  <c r="AR4" i="6"/>
  <c r="FQ4" i="6" l="1"/>
  <c r="FR5" i="6"/>
  <c r="AS4" i="6"/>
  <c r="FR4" i="6" l="1"/>
  <c r="FS5" i="6"/>
  <c r="AT4" i="6"/>
  <c r="FT5" i="6" l="1"/>
  <c r="FS4" i="6"/>
  <c r="AU4" i="6"/>
  <c r="FU5" i="6" l="1"/>
  <c r="FT4" i="6"/>
  <c r="AV4" i="6"/>
  <c r="FU4" i="6" l="1"/>
  <c r="FV5" i="6"/>
  <c r="AW4" i="6"/>
  <c r="FW5" i="6" l="1"/>
  <c r="FV4" i="6"/>
  <c r="AX4" i="6"/>
  <c r="FW4" i="6" l="1"/>
  <c r="FX5" i="6"/>
  <c r="AY4" i="6"/>
  <c r="FX4" i="6" l="1"/>
  <c r="FY5" i="6"/>
  <c r="AZ4" i="6"/>
  <c r="FY4" i="6" l="1"/>
  <c r="FZ5" i="6"/>
  <c r="BA4" i="6"/>
  <c r="FZ4" i="6" l="1"/>
  <c r="GA5" i="6"/>
  <c r="BB4" i="6"/>
  <c r="GB5" i="6" l="1"/>
  <c r="GA4" i="6"/>
  <c r="BC4" i="6"/>
  <c r="GC5" i="6" l="1"/>
  <c r="GB4" i="6"/>
  <c r="BD4" i="6"/>
  <c r="GC4" i="6" l="1"/>
  <c r="GD5" i="6"/>
  <c r="BE4" i="6"/>
  <c r="GE5" i="6" l="1"/>
  <c r="GD4" i="6"/>
  <c r="BF4" i="6"/>
  <c r="GF5" i="6" l="1"/>
  <c r="GE4" i="6"/>
  <c r="BG4" i="6"/>
  <c r="GF4" i="6" l="1"/>
  <c r="GG5" i="6"/>
  <c r="BH4" i="6"/>
  <c r="GG4" i="6" l="1"/>
  <c r="GH5" i="6"/>
  <c r="BI4" i="6"/>
  <c r="GI5" i="6" l="1"/>
  <c r="GH4" i="6"/>
  <c r="BJ4" i="6"/>
  <c r="GJ5" i="6" l="1"/>
  <c r="GI4" i="6"/>
  <c r="BK4" i="6"/>
  <c r="GK5" i="6" l="1"/>
  <c r="GJ4" i="6"/>
  <c r="BL4" i="6"/>
  <c r="GL5" i="6" l="1"/>
  <c r="GK4" i="6"/>
  <c r="BM4" i="6"/>
  <c r="GL4" i="6" l="1"/>
  <c r="GM5" i="6"/>
  <c r="BN4" i="6"/>
  <c r="GN5" i="6" l="1"/>
  <c r="GM4" i="6"/>
  <c r="BO4" i="6"/>
  <c r="GN4" i="6" l="1"/>
  <c r="GO5" i="6"/>
  <c r="BP4" i="6"/>
  <c r="GO4" i="6" l="1"/>
  <c r="GP5" i="6"/>
  <c r="BQ4" i="6"/>
  <c r="GP4" i="6" l="1"/>
  <c r="GQ5" i="6"/>
  <c r="BR4" i="6"/>
  <c r="GR5" i="6" l="1"/>
  <c r="GQ4" i="6"/>
  <c r="BS4" i="6"/>
  <c r="GR4" i="6" l="1"/>
  <c r="GS5" i="6"/>
  <c r="BT4" i="6"/>
  <c r="GT5" i="6" l="1"/>
  <c r="GS4" i="6"/>
  <c r="BU4" i="6"/>
  <c r="GU5" i="6" l="1"/>
  <c r="GT4" i="6"/>
  <c r="BV4" i="6"/>
  <c r="GV5" i="6" l="1"/>
  <c r="GU4" i="6"/>
  <c r="BW4" i="6"/>
  <c r="GW5" i="6" l="1"/>
  <c r="GV4" i="6"/>
  <c r="BX4" i="6"/>
  <c r="GW4" i="6" l="1"/>
  <c r="GX5" i="6"/>
  <c r="BY4" i="6"/>
  <c r="GY5" i="6" l="1"/>
  <c r="GX4" i="6"/>
  <c r="BZ4" i="6"/>
  <c r="GY4" i="6" l="1"/>
  <c r="GZ5" i="6"/>
  <c r="CA4" i="6"/>
  <c r="HA5" i="6" l="1"/>
  <c r="GZ4" i="6"/>
  <c r="CB4" i="6"/>
  <c r="HB5" i="6" l="1"/>
  <c r="HA4" i="6"/>
  <c r="CC4" i="6"/>
  <c r="HC5" i="6" l="1"/>
  <c r="HB4" i="6"/>
  <c r="CD4" i="6"/>
  <c r="HC4" i="6" l="1"/>
  <c r="HD5" i="6"/>
  <c r="CE4" i="6"/>
  <c r="HD4" i="6" l="1"/>
  <c r="HE5" i="6"/>
  <c r="CF4" i="6"/>
  <c r="HE4" i="6" l="1"/>
  <c r="HF5" i="6"/>
  <c r="CG4" i="6"/>
  <c r="HF4" i="6" l="1"/>
  <c r="HG5" i="6"/>
  <c r="CH4" i="6"/>
  <c r="HH5" i="6" l="1"/>
  <c r="HG4" i="6"/>
  <c r="CI4" i="6"/>
  <c r="HI5" i="6" l="1"/>
  <c r="HH4" i="6"/>
  <c r="CJ4" i="6"/>
  <c r="HI4" i="6" l="1"/>
  <c r="HJ5" i="6"/>
  <c r="CK4" i="6"/>
  <c r="HJ4" i="6" l="1"/>
  <c r="HK5" i="6"/>
  <c r="CL4" i="6"/>
  <c r="HL5" i="6" l="1"/>
  <c r="HK4" i="6"/>
  <c r="CM4" i="6"/>
  <c r="HL4" i="6" l="1"/>
  <c r="HM5" i="6"/>
  <c r="CN4" i="6"/>
  <c r="HN5" i="6" l="1"/>
  <c r="HM4" i="6"/>
  <c r="CO4" i="6"/>
  <c r="HN4" i="6" l="1"/>
  <c r="HO5" i="6"/>
  <c r="CP4" i="6"/>
  <c r="HO4" i="6" l="1"/>
  <c r="HP5" i="6"/>
  <c r="CQ4" i="6"/>
  <c r="HQ5" i="6" l="1"/>
  <c r="HP4" i="6"/>
  <c r="CR4" i="6"/>
  <c r="HR5" i="6" l="1"/>
  <c r="HQ4" i="6"/>
  <c r="CS4" i="6"/>
  <c r="HR4" i="6" l="1"/>
  <c r="HS5" i="6"/>
  <c r="CT4" i="6"/>
  <c r="HS4" i="6" l="1"/>
  <c r="HT5" i="6"/>
  <c r="CU4" i="6"/>
  <c r="HT4" i="6" l="1"/>
  <c r="HU5" i="6"/>
  <c r="CV4" i="6"/>
  <c r="HU4" i="6" l="1"/>
  <c r="HV5" i="6"/>
  <c r="CW4" i="6"/>
  <c r="HV4" i="6" l="1"/>
  <c r="HW5" i="6"/>
  <c r="CX4" i="6"/>
  <c r="HW4" i="6" l="1"/>
  <c r="HX5" i="6"/>
  <c r="CY4" i="6"/>
  <c r="HX4" i="6" l="1"/>
  <c r="HY5" i="6"/>
  <c r="CZ4" i="6"/>
  <c r="HZ5" i="6" l="1"/>
  <c r="HY4" i="6"/>
  <c r="DA4" i="6"/>
  <c r="HZ4" i="6" l="1"/>
  <c r="IA5" i="6"/>
  <c r="DB4" i="6"/>
  <c r="IA4" i="6" l="1"/>
  <c r="IB5" i="6"/>
  <c r="DC4" i="6"/>
  <c r="IB4" i="6" l="1"/>
  <c r="IC5" i="6"/>
  <c r="DD4" i="6"/>
  <c r="ID5" i="6" l="1"/>
  <c r="IC4" i="6"/>
  <c r="DE4" i="6"/>
  <c r="IE5" i="6" l="1"/>
  <c r="ID4" i="6"/>
  <c r="DF4" i="6"/>
  <c r="IF5" i="6" l="1"/>
  <c r="IE4" i="6"/>
  <c r="DG4" i="6"/>
  <c r="IF4" i="6" l="1"/>
  <c r="IG5" i="6"/>
  <c r="DH4" i="6"/>
  <c r="IH5" i="6" l="1"/>
  <c r="IG4" i="6"/>
  <c r="DI4" i="6"/>
  <c r="IH4" i="6" l="1"/>
  <c r="II5" i="6"/>
  <c r="DJ4" i="6"/>
  <c r="II4" i="6" l="1"/>
  <c r="IJ5" i="6"/>
  <c r="DK4" i="6"/>
  <c r="IJ4" i="6" l="1"/>
  <c r="IK5" i="6"/>
  <c r="DL4" i="6"/>
  <c r="IK4" i="6" l="1"/>
  <c r="IL5" i="6"/>
  <c r="DM4" i="6"/>
  <c r="IM5" i="6" l="1"/>
  <c r="IL4" i="6"/>
  <c r="DN4" i="6"/>
  <c r="IN5" i="6" l="1"/>
  <c r="IM4" i="6"/>
  <c r="DO4" i="6"/>
  <c r="IO5" i="6" l="1"/>
  <c r="IN4" i="6"/>
  <c r="DP4" i="6"/>
  <c r="IP5" i="6" l="1"/>
  <c r="IO4" i="6"/>
  <c r="DQ4" i="6"/>
  <c r="IP4" i="6" l="1"/>
  <c r="IQ5" i="6"/>
  <c r="DR4" i="6"/>
  <c r="IQ4" i="6" l="1"/>
  <c r="IR5" i="6"/>
  <c r="DS4" i="6"/>
  <c r="IS5" i="6" l="1"/>
  <c r="IR4" i="6"/>
  <c r="DT4" i="6"/>
  <c r="IS4" i="6" l="1"/>
  <c r="IT5" i="6"/>
  <c r="DU4" i="6"/>
  <c r="IU5" i="6" l="1"/>
  <c r="IT4" i="6"/>
  <c r="DV4" i="6"/>
  <c r="IV5" i="6" l="1"/>
  <c r="IU4" i="6"/>
  <c r="DW4" i="6"/>
  <c r="IV4" i="6" l="1"/>
  <c r="IW5" i="6"/>
  <c r="DX4" i="6"/>
  <c r="IX5" i="6" l="1"/>
  <c r="IW4" i="6"/>
  <c r="DY4" i="6"/>
  <c r="IY5" i="6" l="1"/>
  <c r="IX4" i="6"/>
  <c r="DZ4" i="6"/>
  <c r="IY4" i="6" l="1"/>
  <c r="IZ5" i="6"/>
  <c r="EA4" i="6"/>
  <c r="JA5" i="6" l="1"/>
  <c r="IZ4" i="6"/>
  <c r="EB4" i="6"/>
  <c r="JA4" i="6" l="1"/>
  <c r="JB5" i="6"/>
  <c r="EC4" i="6"/>
  <c r="JB4" i="6" l="1"/>
  <c r="JC5" i="6"/>
  <c r="ED4" i="6"/>
  <c r="JC4" i="6" l="1"/>
  <c r="JD5" i="6"/>
  <c r="EE4" i="6"/>
  <c r="JD4" i="6" l="1"/>
  <c r="JE5" i="6"/>
  <c r="EF4" i="6"/>
  <c r="JE4" i="6" l="1"/>
  <c r="JF5" i="6"/>
  <c r="EG4" i="6"/>
  <c r="JG5" i="6" l="1"/>
  <c r="JF4" i="6"/>
  <c r="EH4" i="6"/>
  <c r="JG4" i="6" l="1"/>
  <c r="JH5" i="6"/>
  <c r="EI4" i="6"/>
  <c r="JH4" i="6" l="1"/>
  <c r="JI5" i="6"/>
  <c r="EJ4" i="6"/>
  <c r="JI4" i="6" l="1"/>
  <c r="JJ5" i="6"/>
  <c r="EK4" i="6"/>
  <c r="JK5" i="6" l="1"/>
  <c r="JJ4" i="6"/>
  <c r="EL4" i="6"/>
  <c r="JL5" i="6" l="1"/>
  <c r="JK4" i="6"/>
  <c r="EM4" i="6"/>
  <c r="JM5" i="6" l="1"/>
  <c r="JL4" i="6"/>
  <c r="EN4" i="6"/>
  <c r="JN5" i="6" l="1"/>
  <c r="JM4" i="6"/>
  <c r="EO4" i="6"/>
  <c r="JO5" i="6" l="1"/>
  <c r="JN4" i="6"/>
  <c r="EP4" i="6"/>
  <c r="JO4" i="6" l="1"/>
  <c r="JP5" i="6"/>
  <c r="EQ4" i="6"/>
  <c r="JQ5" i="6" l="1"/>
  <c r="JP4" i="6"/>
  <c r="ER4" i="6"/>
  <c r="JQ4" i="6" l="1"/>
  <c r="JR5" i="6"/>
  <c r="ES4" i="6"/>
  <c r="JR4" i="6" l="1"/>
  <c r="JS5" i="6"/>
  <c r="ET4" i="6"/>
  <c r="JT5" i="6" l="1"/>
  <c r="JS4" i="6"/>
  <c r="EU4" i="6"/>
  <c r="JU5" i="6" l="1"/>
  <c r="JT4" i="6"/>
  <c r="EV4" i="6"/>
  <c r="JV5" i="6" l="1"/>
  <c r="JU4" i="6"/>
  <c r="EW4" i="6"/>
  <c r="JW5" i="6" l="1"/>
  <c r="JV4" i="6"/>
  <c r="EX4" i="6"/>
  <c r="JW4" i="6" l="1"/>
  <c r="JX5" i="6"/>
  <c r="EY4" i="6"/>
  <c r="JX4" i="6" l="1"/>
  <c r="JY5" i="6"/>
  <c r="EZ4" i="6"/>
  <c r="JY4" i="6" l="1"/>
  <c r="JZ5" i="6"/>
  <c r="FA4" i="6"/>
  <c r="JZ4" i="6" l="1"/>
  <c r="KA5" i="6"/>
  <c r="FC4" i="6"/>
  <c r="FB4" i="6"/>
  <c r="KB5" i="6" l="1"/>
  <c r="KA4" i="6"/>
  <c r="KC5" i="6" l="1"/>
  <c r="KB4" i="6"/>
  <c r="KD5" i="6" l="1"/>
  <c r="KC4" i="6"/>
  <c r="KE5" i="6" l="1"/>
  <c r="KD4" i="6"/>
  <c r="KE4" i="6" l="1"/>
  <c r="KF5" i="6"/>
  <c r="KF4" i="6" l="1"/>
  <c r="KG5" i="6"/>
  <c r="KG4" i="6" l="1"/>
  <c r="KH5" i="6"/>
  <c r="KH4" i="6" l="1"/>
  <c r="KI5" i="6"/>
  <c r="KJ5" i="6" l="1"/>
  <c r="KI4" i="6"/>
  <c r="KK5" i="6" l="1"/>
  <c r="KJ4" i="6"/>
  <c r="KL5" i="6" l="1"/>
  <c r="KK4" i="6"/>
  <c r="KM5" i="6" l="1"/>
  <c r="KL4" i="6"/>
  <c r="KM4" i="6" l="1"/>
  <c r="KN5" i="6"/>
  <c r="KN4" i="6" l="1"/>
  <c r="KO5" i="6"/>
  <c r="KO4" i="6" l="1"/>
  <c r="KP5" i="6"/>
  <c r="KP4" i="6" l="1"/>
  <c r="KQ5" i="6"/>
  <c r="KR5" i="6" l="1"/>
  <c r="KQ4" i="6"/>
  <c r="KR4" i="6" l="1"/>
  <c r="KS5" i="6"/>
  <c r="KS4" i="6" l="1"/>
  <c r="KT5" i="6"/>
  <c r="KU5" i="6" l="1"/>
  <c r="KT4" i="6"/>
  <c r="KV5" i="6" l="1"/>
  <c r="KU4" i="6"/>
  <c r="KW5" i="6" l="1"/>
  <c r="KV4" i="6"/>
  <c r="KW4" i="6" l="1"/>
  <c r="KX5" i="6"/>
  <c r="KY5" i="6" l="1"/>
  <c r="KX4" i="6"/>
  <c r="KZ5" i="6" l="1"/>
  <c r="KY4" i="6"/>
  <c r="KZ4" i="6" l="1"/>
  <c r="LA5" i="6"/>
  <c r="LB5" i="6" l="1"/>
  <c r="LA4" i="6"/>
  <c r="LC5" i="6" l="1"/>
  <c r="LB4" i="6"/>
  <c r="LC4" i="6" l="1"/>
  <c r="LD5" i="6"/>
  <c r="LD4" i="6" l="1"/>
  <c r="LE5" i="6"/>
  <c r="LE4" i="6" l="1"/>
  <c r="LF5" i="6"/>
  <c r="LF4" i="6" l="1"/>
  <c r="LG5" i="6"/>
  <c r="LH5" i="6" l="1"/>
  <c r="LG4" i="6"/>
  <c r="LI5" i="6" l="1"/>
  <c r="LH4" i="6"/>
  <c r="LJ5" i="6" l="1"/>
  <c r="LI4" i="6"/>
  <c r="LJ4" i="6" l="1"/>
  <c r="LK5" i="6"/>
  <c r="LK4" i="6" l="1"/>
  <c r="LL5" i="6"/>
  <c r="LL4" i="6" l="1"/>
  <c r="LM5" i="6"/>
  <c r="LM4" i="6" l="1"/>
  <c r="LN5" i="6"/>
  <c r="LN4" i="6" l="1"/>
  <c r="LO5" i="6"/>
  <c r="LO4" i="6" l="1"/>
  <c r="LP5" i="6"/>
  <c r="LQ5" i="6" l="1"/>
  <c r="LP4" i="6"/>
  <c r="LR5" i="6" l="1"/>
  <c r="LQ4" i="6"/>
  <c r="LS5" i="6" l="1"/>
  <c r="LR4" i="6"/>
  <c r="LS4" i="6" l="1"/>
  <c r="LT5" i="6"/>
  <c r="LT4" i="6" l="1"/>
  <c r="LU5" i="6"/>
  <c r="LU4" i="6" l="1"/>
  <c r="LV5" i="6"/>
  <c r="LW5" i="6" l="1"/>
  <c r="LV4" i="6"/>
  <c r="LW4" i="6" l="1"/>
  <c r="LX5" i="6"/>
  <c r="LX4" i="6" l="1"/>
  <c r="LY5" i="6"/>
  <c r="LY4" i="6" l="1"/>
  <c r="LZ5" i="6"/>
  <c r="LZ4" i="6" l="1"/>
  <c r="MA5" i="6"/>
  <c r="MA4" i="6" l="1"/>
  <c r="MB5" i="6"/>
  <c r="MB4" i="6" l="1"/>
  <c r="MC5" i="6"/>
  <c r="MC4" i="6" l="1"/>
  <c r="MD5" i="6"/>
  <c r="MD4" i="6" l="1"/>
  <c r="ME5" i="6"/>
  <c r="ME4" i="6" l="1"/>
  <c r="MF5" i="6"/>
  <c r="MG5" i="6" l="1"/>
  <c r="MF4" i="6"/>
  <c r="MG4" i="6" l="1"/>
  <c r="MH5" i="6"/>
  <c r="MH4" i="6" l="1"/>
  <c r="MI5" i="6"/>
  <c r="MI4" i="6" l="1"/>
  <c r="MJ5" i="6"/>
  <c r="MK5" i="6" l="1"/>
  <c r="MJ4" i="6"/>
  <c r="ML5" i="6" l="1"/>
  <c r="MK4" i="6"/>
  <c r="MM5" i="6" l="1"/>
  <c r="ML4" i="6"/>
  <c r="MM4" i="6" l="1"/>
  <c r="MN5" i="6"/>
  <c r="MO5" i="6" l="1"/>
  <c r="MN4" i="6"/>
  <c r="MP5" i="6" l="1"/>
  <c r="MO4" i="6"/>
  <c r="MQ5" i="6" l="1"/>
  <c r="MP4" i="6"/>
  <c r="MQ4" i="6" l="1"/>
  <c r="MR5" i="6"/>
  <c r="MR4" i="6" l="1"/>
  <c r="MS5" i="6"/>
  <c r="MS4" i="6" l="1"/>
  <c r="MT5" i="6"/>
  <c r="MU5" i="6" l="1"/>
  <c r="MT4" i="6"/>
  <c r="MV5" i="6" l="1"/>
  <c r="MU4" i="6"/>
  <c r="MW5" i="6" l="1"/>
  <c r="MV4" i="6"/>
  <c r="MX5" i="6" l="1"/>
  <c r="MW4" i="6"/>
  <c r="MY5" i="6" l="1"/>
  <c r="MX4" i="6"/>
  <c r="MY4" i="6" l="1"/>
  <c r="MZ5" i="6"/>
  <c r="MZ4" i="6" l="1"/>
  <c r="NA5" i="6"/>
  <c r="NB5" i="6" l="1"/>
  <c r="NA4" i="6"/>
  <c r="NC5" i="6" l="1"/>
  <c r="NB4" i="6"/>
  <c r="ND5" i="6" l="1"/>
  <c r="NC4" i="6"/>
  <c r="NE5" i="6" l="1"/>
  <c r="ND4" i="6"/>
  <c r="NE4" i="6" l="1"/>
  <c r="NF5" i="6"/>
  <c r="NG5" i="6" l="1"/>
  <c r="NF4" i="6"/>
  <c r="NH5" i="6" l="1"/>
  <c r="NG4" i="6"/>
  <c r="NH4" i="6" l="1"/>
  <c r="NI5" i="6"/>
  <c r="NJ5" i="6" l="1"/>
  <c r="NI4" i="6"/>
  <c r="NJ4" i="6" l="1"/>
  <c r="NK5" i="6"/>
  <c r="NK4" i="6" l="1"/>
  <c r="NL5" i="6"/>
  <c r="NL4" i="6" l="1"/>
  <c r="NM5" i="6"/>
  <c r="NM4" i="6" l="1"/>
  <c r="NN5" i="6"/>
  <c r="NO5" i="6" l="1"/>
  <c r="NN4" i="6"/>
  <c r="NP5" i="6" l="1"/>
  <c r="NO4" i="6"/>
  <c r="NQ5" i="6" l="1"/>
  <c r="NP4" i="6"/>
  <c r="NR5" i="6" l="1"/>
  <c r="NQ4" i="6"/>
  <c r="NR4" i="6" l="1"/>
  <c r="NS5" i="6"/>
  <c r="NT5" i="6" l="1"/>
  <c r="NS4" i="6"/>
  <c r="NU5" i="6" l="1"/>
  <c r="NT4" i="6"/>
  <c r="NV5" i="6" l="1"/>
  <c r="NU4" i="6"/>
  <c r="NW5" i="6" l="1"/>
  <c r="NV4" i="6"/>
  <c r="NW4" i="6" l="1"/>
  <c r="NX5" i="6"/>
  <c r="NX4" i="6" l="1"/>
  <c r="NY5" i="6"/>
  <c r="NY4" i="6" s="1"/>
</calcChain>
</file>

<file path=xl/sharedStrings.xml><?xml version="1.0" encoding="utf-8"?>
<sst xmlns="http://schemas.openxmlformats.org/spreadsheetml/2006/main" count="40" uniqueCount="24">
  <si>
    <t>Code</t>
  </si>
  <si>
    <t>Project Name</t>
  </si>
  <si>
    <t>Status</t>
  </si>
  <si>
    <t>E-mail:</t>
  </si>
  <si>
    <t>Created by:</t>
  </si>
  <si>
    <t>Diego Ruales Aguilar</t>
  </si>
  <si>
    <t>Linkedin:</t>
  </si>
  <si>
    <t>https://www.linkedin.com/in/diego-ruales/</t>
  </si>
  <si>
    <t>1. Initiation</t>
  </si>
  <si>
    <t>2. Planning</t>
  </si>
  <si>
    <t>3. Execution</t>
  </si>
  <si>
    <t>4. Monitoring</t>
  </si>
  <si>
    <t>5. Closure</t>
  </si>
  <si>
    <t>Stages</t>
  </si>
  <si>
    <t>Phases of Project Management</t>
  </si>
  <si>
    <t>Start
date</t>
  </si>
  <si>
    <t>Finish
date</t>
  </si>
  <si>
    <t>dynamitconsulting@gmail.com</t>
  </si>
  <si>
    <t>Days</t>
  </si>
  <si>
    <t>Project 1</t>
  </si>
  <si>
    <t>P0001</t>
  </si>
  <si>
    <t>Start day:</t>
  </si>
  <si>
    <t>P0002</t>
  </si>
  <si>
    <t>Project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</si>
</sst>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>
    <font>
      <sz val="11"/>
      <color theme="1"/>
      <name val="Calibri"/>
      <family val="2"/>
      <scheme val="minor"/>
    </font>
    <font>
      <sz val="9"/>
      <color theme="1"/>
      <name val="SemanaSans-Regular"/>
    </font>
    <font>
      <b/>
      <sz val="9"/>
      <color theme="4" tint="-0.249977111117893"/>
      <name val="SemanaSans-Regular"/>
    </font>
    <font>
      <sz val="9"/>
      <color rgb="FFFFFFFF"/>
      <name val="SemanaSans-Regular"/>
    </font>
    <font>
      <b/>
      <sz val="9"/>
      <color theme="1"/>
      <name val="SemanaSans-Regular"/>
    </font>
    <font>
      <i/>
      <sz val="9"/>
      <color theme="1"/>
      <name val="SemanaSans-Regular"/>
    </font>
    <font>
      <b/>
      <sz val="9"/>
      <color rgb="FFCC0099"/>
      <name val="SemanaSans-Regular"/>
    </font>
    <font>
      <b/>
      <sz val="9"/>
      <color rgb="FF379B43"/>
      <name val="SemanaSans-Regular"/>
    </font>
    <font>
      <b/>
      <sz val="9"/>
      <color rgb="FFD88806"/>
      <name val="SemanaSans-Regular"/>
    </font>
    <font>
      <b/>
      <sz val="9"/>
      <color rgb="FF1962F3"/>
      <name val="SemanaSans-Regular"/>
    </font>
    <font>
      <b/>
      <sz val="9"/>
      <color rgb="FF4646C2"/>
      <name val="SemanaSans-Regular"/>
    </font>
    <font>
      <b/>
      <sz val="9"/>
      <color rgb="FF363636"/>
      <name val="SemanaSans-Regular"/>
    </font>
    <font>
      <sz val="8"/>
      <color theme="1"/>
      <name val="SemanaSans-Regular"/>
    </font>
    <font>
      <b/>
      <i/>
      <sz val="9"/>
      <color theme="1"/>
      <name val="SemanaSans-Regular"/>
    </font>
    <font>
      <b/>
      <sz val="10"/>
      <color theme="1"/>
      <name val="SemanaSans-Regular"/>
    </font>
    <font>
      <sz val="10"/>
      <color theme="1"/>
      <name val="SemanaSans-Regular"/>
    </font>
    <font>
      <u/>
      <sz val="11"/>
      <color theme="10"/>
      <name val="Calibri"/>
      <family val="2"/>
      <scheme val="minor"/>
    </font>
    <font>
      <u/>
      <sz val="11"/>
      <color theme="10"/>
      <name val="SemanaSans-Regular"/>
    </font>
    <font>
      <b/>
      <sz val="16"/>
      <color rgb="FF00CC99"/>
      <name val="SemanaSans-Regular"/>
    </font>
    <font>
      <sz val="8"/>
      <name val="Calibri"/>
      <family val="2"/>
      <scheme val="minor"/>
    </font>
    <font>
      <b/>
      <sz val="9"/>
      <color theme="0"/>
      <name val="SemanaSans-Regular"/>
    </font>
    <font>
      <b/>
      <sz val="10"/>
      <color rgb="FFC00000"/>
      <name val="SemanaSans-Regula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DE3B9"/>
        <bgColor indexed="64"/>
      </patternFill>
    </fill>
    <fill>
      <patternFill patternType="solid">
        <fgColor rgb="FFF9D3F4"/>
        <bgColor indexed="64"/>
      </patternFill>
    </fill>
    <fill>
      <patternFill patternType="solid">
        <fgColor rgb="FFFEEACA"/>
        <bgColor indexed="64"/>
      </patternFill>
    </fill>
    <fill>
      <patternFill patternType="solid">
        <fgColor rgb="FFE2F6E4"/>
        <bgColor indexed="64"/>
      </patternFill>
    </fill>
    <fill>
      <patternFill patternType="solid">
        <fgColor rgb="FFECF2FE"/>
        <bgColor indexed="64"/>
      </patternFill>
    </fill>
    <fill>
      <patternFill patternType="solid">
        <fgColor rgb="FFEDEDF9"/>
        <bgColor indexed="64"/>
      </patternFill>
    </fill>
    <fill>
      <patternFill patternType="solid">
        <fgColor rgb="FFF4C5EF"/>
        <bgColor indexed="64"/>
      </patternFill>
    </fill>
    <fill>
      <patternFill patternType="solid">
        <fgColor rgb="FFDBF5D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/>
      <bottom style="thin">
        <color theme="2" tint="-0.24994659260841701"/>
      </bottom>
      <diagonal/>
    </border>
    <border>
      <left/>
      <right/>
      <top/>
      <bottom style="dashed">
        <color rgb="FFF79C07"/>
      </bottom>
      <diagonal/>
    </border>
    <border>
      <left/>
      <right/>
      <top/>
      <bottom style="dashed">
        <color rgb="FFCC0099"/>
      </bottom>
      <diagonal/>
    </border>
    <border>
      <left/>
      <right/>
      <top/>
      <bottom style="dashed">
        <color rgb="FF379B43"/>
      </bottom>
      <diagonal/>
    </border>
    <border>
      <left/>
      <right/>
      <top/>
      <bottom style="dashed">
        <color rgb="FF1962F3"/>
      </bottom>
      <diagonal/>
    </border>
    <border>
      <left/>
      <right/>
      <top/>
      <bottom style="dashed">
        <color rgb="FF4646C2"/>
      </bottom>
      <diagonal/>
    </border>
    <border>
      <left style="dashed">
        <color rgb="FF0070C0"/>
      </left>
      <right style="dashed">
        <color rgb="FF0070C0"/>
      </right>
      <top style="dashed">
        <color rgb="FF0070C0"/>
      </top>
      <bottom/>
      <diagonal/>
    </border>
    <border>
      <left style="dashed">
        <color rgb="FF0070C0"/>
      </left>
      <right style="dashed">
        <color rgb="FF0070C0"/>
      </right>
      <top/>
      <bottom/>
      <diagonal/>
    </border>
    <border>
      <left style="dashed">
        <color rgb="FF0070C0"/>
      </left>
      <right style="dashed">
        <color rgb="FF0070C0"/>
      </right>
      <top/>
      <bottom style="dashed">
        <color rgb="FF0070C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15" fontId="1" fillId="0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2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12" fillId="0" borderId="2" xfId="0" applyFont="1" applyBorder="1" applyAlignment="1" applyProtection="1">
      <alignment horizontal="center" vertical="center"/>
      <protection locked="0"/>
    </xf>
    <xf numFmtId="0" fontId="13" fillId="2" borderId="2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locked="0"/>
    </xf>
    <xf numFmtId="0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6" fillId="4" borderId="0" xfId="0" applyFont="1" applyFill="1" applyAlignment="1" applyProtection="1">
      <alignment horizontal="center" vertical="center" wrapText="1"/>
      <protection hidden="1"/>
    </xf>
    <xf numFmtId="0" fontId="6" fillId="4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 wrapText="1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 wrapText="1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horizontal="center" vertical="center" wrapText="1"/>
      <protection hidden="1"/>
    </xf>
    <xf numFmtId="0" fontId="9" fillId="7" borderId="0" xfId="0" applyFont="1" applyFill="1" applyAlignment="1" applyProtection="1">
      <alignment horizontal="center" vertical="center"/>
      <protection hidden="1"/>
    </xf>
    <xf numFmtId="0" fontId="10" fillId="8" borderId="0" xfId="0" applyFont="1" applyFill="1" applyAlignment="1" applyProtection="1">
      <alignment horizontal="center" vertical="center" wrapText="1"/>
      <protection hidden="1"/>
    </xf>
    <xf numFmtId="0" fontId="10" fillId="8" borderId="0" xfId="0" applyFont="1" applyFill="1" applyAlignment="1" applyProtection="1">
      <alignment horizontal="center" vertical="center"/>
      <protection hidden="1"/>
    </xf>
    <xf numFmtId="0" fontId="20" fillId="12" borderId="0" xfId="0" applyNumberFormat="1" applyFont="1" applyFill="1" applyAlignment="1" applyProtection="1">
      <alignment horizontal="center" vertical="center"/>
      <protection hidden="1"/>
    </xf>
    <xf numFmtId="16" fontId="11" fillId="2" borderId="2" xfId="0" applyNumberFormat="1" applyFont="1" applyFill="1" applyBorder="1" applyAlignment="1" applyProtection="1">
      <alignment horizontal="center" vertical="center" textRotation="90"/>
      <protection hidden="1"/>
    </xf>
    <xf numFmtId="0" fontId="14" fillId="2" borderId="0" xfId="0" applyFont="1" applyFill="1" applyAlignment="1" applyProtection="1">
      <alignment horizontal="left" vertical="center"/>
    </xf>
    <xf numFmtId="0" fontId="15" fillId="2" borderId="0" xfId="0" applyFont="1" applyFill="1" applyProtection="1"/>
    <xf numFmtId="0" fontId="15" fillId="0" borderId="0" xfId="0" applyFont="1" applyProtection="1"/>
    <xf numFmtId="0" fontId="17" fillId="2" borderId="0" xfId="1" applyFont="1" applyFill="1" applyProtection="1"/>
    <xf numFmtId="0" fontId="14" fillId="0" borderId="0" xfId="0" applyFont="1" applyProtection="1"/>
    <xf numFmtId="0" fontId="14" fillId="11" borderId="9" xfId="0" applyFont="1" applyFill="1" applyBorder="1" applyAlignment="1" applyProtection="1">
      <alignment horizontal="center"/>
    </xf>
    <xf numFmtId="0" fontId="15" fillId="0" borderId="10" xfId="0" applyFont="1" applyBorder="1" applyProtection="1"/>
    <xf numFmtId="0" fontId="15" fillId="0" borderId="11" xfId="0" applyFont="1" applyBorder="1" applyProtection="1"/>
    <xf numFmtId="14" fontId="21" fillId="13" borderId="0" xfId="0" applyNumberFormat="1" applyFont="1" applyFill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0" xfId="0" applyFont="1" applyProtection="1">
      <protection hidden="1"/>
    </xf>
    <xf numFmtId="0" fontId="18" fillId="12" borderId="0" xfId="0" applyFont="1" applyFill="1" applyAlignment="1" applyProtection="1">
      <alignment horizontal="left" vertical="center" indent="1"/>
      <protection hidden="1"/>
    </xf>
    <xf numFmtId="0" fontId="1" fillId="12" borderId="0" xfId="0" applyFont="1" applyFill="1" applyProtection="1">
      <protection hidden="1"/>
    </xf>
    <xf numFmtId="0" fontId="1" fillId="12" borderId="0" xfId="0" applyFont="1" applyFill="1" applyAlignment="1" applyProtection="1">
      <alignment horizontal="center"/>
      <protection hidden="1"/>
    </xf>
    <xf numFmtId="0" fontId="3" fillId="12" borderId="0" xfId="0" applyFont="1" applyFill="1" applyProtection="1">
      <protection hidden="1"/>
    </xf>
    <xf numFmtId="22" fontId="12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center" vertical="center"/>
      <protection hidden="1"/>
    </xf>
    <xf numFmtId="0" fontId="11" fillId="2" borderId="0" xfId="0" applyFont="1" applyFill="1" applyAlignment="1" applyProtection="1">
      <alignment horizontal="left" vertical="center" indent="1"/>
      <protection hidden="1"/>
    </xf>
    <xf numFmtId="0" fontId="11" fillId="2" borderId="3" xfId="0" applyFont="1" applyFill="1" applyBorder="1" applyAlignment="1" applyProtection="1">
      <alignment horizontal="left" vertical="center" indent="1"/>
      <protection hidden="1"/>
    </xf>
    <xf numFmtId="0" fontId="6" fillId="9" borderId="5" xfId="0" applyFont="1" applyFill="1" applyBorder="1" applyAlignment="1" applyProtection="1">
      <alignment horizontal="center" vertical="center"/>
      <protection hidden="1"/>
    </xf>
    <xf numFmtId="0" fontId="10" fillId="8" borderId="8" xfId="0" applyFont="1" applyFill="1" applyBorder="1" applyAlignment="1" applyProtection="1">
      <alignment horizontal="center" vertical="center"/>
      <protection hidden="1"/>
    </xf>
    <xf numFmtId="0" fontId="8" fillId="3" borderId="4" xfId="0" applyFont="1" applyFill="1" applyBorder="1" applyAlignment="1" applyProtection="1">
      <alignment horizontal="center" vertical="center"/>
      <protection hidden="1"/>
    </xf>
    <xf numFmtId="0" fontId="9" fillId="7" borderId="7" xfId="0" applyFont="1" applyFill="1" applyBorder="1" applyAlignment="1" applyProtection="1">
      <alignment horizontal="center" vertical="center"/>
      <protection hidden="1"/>
    </xf>
    <xf numFmtId="0" fontId="7" fillId="10" borderId="6" xfId="0" applyFont="1" applyFill="1" applyBorder="1" applyAlignment="1" applyProtection="1">
      <alignment horizontal="center" vertical="center"/>
      <protection hidden="1"/>
    </xf>
  </cellXfs>
  <cellStyles count="2">
    <cellStyle name="Hipervínculo" xfId="1" builtinId="8"/>
    <cellStyle name="Normal" xfId="0" builtinId="0"/>
  </cellStyles>
  <dxfs count="14"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theme="5"/>
      </font>
      <fill>
        <patternFill patternType="none">
          <bgColor auto="1"/>
        </patternFill>
      </fill>
    </dxf>
    <dxf>
      <fill>
        <patternFill patternType="darkUp">
          <fgColor theme="4" tint="0.79982909634693444"/>
          <bgColor rgb="FF9A9ADE"/>
        </patternFill>
      </fill>
    </dxf>
    <dxf>
      <fill>
        <patternFill patternType="darkUp">
          <fgColor theme="4" tint="0.79982909634693444"/>
          <bgColor theme="8" tint="0.59996337778862885"/>
        </patternFill>
      </fill>
    </dxf>
    <dxf>
      <fill>
        <patternFill patternType="darkUp">
          <fgColor theme="4" tint="0.79979857783745845"/>
          <bgColor rgb="FF6FCB7A"/>
        </patternFill>
      </fill>
    </dxf>
    <dxf>
      <fill>
        <patternFill patternType="darkUp">
          <fgColor theme="4" tint="0.79989013336588644"/>
          <bgColor rgb="FFFAB544"/>
        </patternFill>
      </fill>
    </dxf>
    <dxf>
      <fill>
        <patternFill patternType="darkUp">
          <fgColor theme="4" tint="0.79995117038483843"/>
          <bgColor rgb="FFF4C5EF"/>
        </patternFill>
      </fill>
    </dxf>
    <dxf>
      <border>
        <left style="thin">
          <color rgb="FFFF0000"/>
        </left>
        <right style="thin">
          <color rgb="FFFF0000"/>
        </right>
        <vertical/>
        <horizontal/>
      </border>
    </dxf>
    <dxf>
      <font>
        <b/>
        <i val="0"/>
        <sz val="8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sz val="8"/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SlicerStyleLight1 2" pivot="0" table="0" count="10" xr9:uid="{CAC3D4AE-3525-4447-8219-8AA65621528D}">
      <tableStyleElement type="wholeTable" dxfId="13"/>
      <tableStyleElement type="headerRow" dxfId="12"/>
    </tableStyle>
    <tableStyle name="TimeSlicerStyleLight1 2" pivot="0" table="0" count="9" xr9:uid="{C3F67E0D-0E4E-424C-8E20-D87075D0CA36}">
      <tableStyleElement type="wholeTable" dxfId="11"/>
      <tableStyleElement type="headerRow" dxfId="10"/>
    </tableStyle>
  </tableStyles>
  <colors>
    <mruColors>
      <color rgb="FF00CC99"/>
      <color rgb="FF9A9ADE"/>
      <color rgb="FF6FCB7A"/>
      <color rgb="FFFFE5B2"/>
      <color rgb="FF47BD55"/>
      <color rgb="FF379B43"/>
      <color rgb="FFFAB544"/>
      <color rgb="FFD88806"/>
      <color rgb="FFF4C5EF"/>
      <color rgb="FF36363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lightGray">
              <fgColor theme="8" tint="0.59996337778862885"/>
              <bgColor theme="8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4506668294322"/>
              <bgColor theme="8" tint="0.79998168889431442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8" tint="0.80001220740379042"/>
              </stop>
              <stop position="1">
                <color theme="8" tint="0.40000610370189521"/>
              </stop>
            </gradientFill>
          </fill>
          <border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Gantt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5</xdr:row>
      <xdr:rowOff>146050</xdr:rowOff>
    </xdr:from>
    <xdr:to>
      <xdr:col>9</xdr:col>
      <xdr:colOff>317500</xdr:colOff>
      <xdr:row>12</xdr:row>
      <xdr:rowOff>44450</xdr:rowOff>
    </xdr:to>
    <xdr:pic>
      <xdr:nvPicPr>
        <xdr:cNvPr id="3" name="Imagen 2" descr="5 Phases of Project Management Process - A Complete Breakdown">
          <a:extLst>
            <a:ext uri="{FF2B5EF4-FFF2-40B4-BE49-F238E27FC236}">
              <a16:creationId xmlns:a16="http://schemas.microsoft.com/office/drawing/2014/main" id="{2018E233-BC0B-CD60-A79D-D9EF7262CF7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84" t="24168" r="3697" b="21952"/>
        <a:stretch/>
      </xdr:blipFill>
      <xdr:spPr bwMode="auto">
        <a:xfrm>
          <a:off x="1047750" y="990600"/>
          <a:ext cx="5949950" cy="10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412750</xdr:colOff>
      <xdr:row>0</xdr:row>
      <xdr:rowOff>76200</xdr:rowOff>
    </xdr:from>
    <xdr:to>
      <xdr:col>10</xdr:col>
      <xdr:colOff>596900</xdr:colOff>
      <xdr:row>2</xdr:row>
      <xdr:rowOff>63500</xdr:rowOff>
    </xdr:to>
    <xdr:sp macro="" textlink="">
      <xdr:nvSpPr>
        <xdr:cNvPr id="2" name="Flecha: pentágon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37229B0-383E-0A89-73EB-10B5A3F0CB9B}"/>
            </a:ext>
          </a:extLst>
        </xdr:cNvPr>
        <xdr:cNvSpPr/>
      </xdr:nvSpPr>
      <xdr:spPr>
        <a:xfrm>
          <a:off x="7092950" y="76200"/>
          <a:ext cx="946150" cy="330200"/>
        </a:xfrm>
        <a:prstGeom prst="homePlate">
          <a:avLst/>
        </a:prstGeom>
        <a:solidFill>
          <a:schemeClr val="tx2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>
              <a:solidFill>
                <a:srgbClr val="00CC99"/>
              </a:solidFill>
              <a:latin typeface="SemanaSans-Regular"/>
            </a:rPr>
            <a:t>Go to Gantt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235857</xdr:colOff>
      <xdr:row>1</xdr:row>
      <xdr:rowOff>13890</xdr:rowOff>
    </xdr:from>
    <xdr:to>
      <xdr:col>3</xdr:col>
      <xdr:colOff>593345</xdr:colOff>
      <xdr:row>1</xdr:row>
      <xdr:rowOff>375224</xdr:rowOff>
    </xdr:to>
    <xdr:pic macro="[0]!Ordenar">
      <xdr:nvPicPr>
        <xdr:cNvPr id="3" name="Gráfico 2" descr="Ordenar con relleno sóli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773714" y="113676"/>
          <a:ext cx="357488" cy="361334"/>
        </a:xfrm>
        <a:prstGeom prst="rect">
          <a:avLst/>
        </a:prstGeom>
      </xdr:spPr>
    </xdr:pic>
    <xdr:clientData/>
  </xdr:twoCellAnchor>
  <xdr:twoCellAnchor editAs="oneCell">
    <xdr:from>
      <xdr:col>6</xdr:col>
      <xdr:colOff>111125</xdr:colOff>
      <xdr:row>3</xdr:row>
      <xdr:rowOff>7938</xdr:rowOff>
    </xdr:from>
    <xdr:to>
      <xdr:col>6</xdr:col>
      <xdr:colOff>373319</xdr:colOff>
      <xdr:row>3</xdr:row>
      <xdr:rowOff>261938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0E00D00-7258-12A4-E9FF-B907CB323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87875" y="690563"/>
          <a:ext cx="262194" cy="25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79375</xdr:colOff>
      <xdr:row>3</xdr:row>
      <xdr:rowOff>7937</xdr:rowOff>
    </xdr:from>
    <xdr:to>
      <xdr:col>10</xdr:col>
      <xdr:colOff>389342</xdr:colOff>
      <xdr:row>3</xdr:row>
      <xdr:rowOff>261938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2932F8E-9E27-D075-8BF8-EF00F54147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07188" y="690562"/>
          <a:ext cx="309967" cy="25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45356</xdr:colOff>
      <xdr:row>3</xdr:row>
      <xdr:rowOff>9070</xdr:rowOff>
    </xdr:from>
    <xdr:to>
      <xdr:col>14</xdr:col>
      <xdr:colOff>344713</xdr:colOff>
      <xdr:row>3</xdr:row>
      <xdr:rowOff>263747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D4D43D-E03F-9394-FCBC-1E3B8D5D6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7713" y="689427"/>
          <a:ext cx="299357" cy="254677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190501</xdr:colOff>
      <xdr:row>3</xdr:row>
      <xdr:rowOff>27214</xdr:rowOff>
    </xdr:from>
    <xdr:to>
      <xdr:col>18</xdr:col>
      <xdr:colOff>471283</xdr:colOff>
      <xdr:row>3</xdr:row>
      <xdr:rowOff>254000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74E60DC5-673C-6D1D-48E5-BC30E471E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393715" y="707571"/>
          <a:ext cx="280782" cy="226786"/>
        </a:xfrm>
        <a:prstGeom prst="rect">
          <a:avLst/>
        </a:prstGeom>
      </xdr:spPr>
    </xdr:pic>
    <xdr:clientData/>
  </xdr:twoCellAnchor>
  <xdr:twoCellAnchor editAs="oneCell">
    <xdr:from>
      <xdr:col>22</xdr:col>
      <xdr:colOff>163286</xdr:colOff>
      <xdr:row>3</xdr:row>
      <xdr:rowOff>9072</xdr:rowOff>
    </xdr:from>
    <xdr:to>
      <xdr:col>22</xdr:col>
      <xdr:colOff>508000</xdr:colOff>
      <xdr:row>3</xdr:row>
      <xdr:rowOff>260220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D679BB1B-AB80-2DC0-255C-627A9C1D7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877143" y="689429"/>
          <a:ext cx="344714" cy="251148"/>
        </a:xfrm>
        <a:prstGeom prst="rect">
          <a:avLst/>
        </a:prstGeom>
      </xdr:spPr>
    </xdr:pic>
    <xdr:clientData/>
  </xdr:twoCellAnchor>
  <xdr:twoCellAnchor editAs="oneCell">
    <xdr:from>
      <xdr:col>5</xdr:col>
      <xdr:colOff>181424</xdr:colOff>
      <xdr:row>1</xdr:row>
      <xdr:rowOff>14557</xdr:rowOff>
    </xdr:from>
    <xdr:to>
      <xdr:col>5</xdr:col>
      <xdr:colOff>541424</xdr:colOff>
      <xdr:row>1</xdr:row>
      <xdr:rowOff>374557</xdr:rowOff>
    </xdr:to>
    <xdr:pic macro="[0]!Eliminar_fila">
      <xdr:nvPicPr>
        <xdr:cNvPr id="9" name="Gráfico 8" descr="Insignia Desplegada contorno">
          <a:extLst>
            <a:ext uri="{FF2B5EF4-FFF2-40B4-BE49-F238E27FC236}">
              <a16:creationId xmlns:a16="http://schemas.microsoft.com/office/drawing/2014/main" id="{640DBAF9-61E6-4F21-B670-7050BB7CC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370281" y="11434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263072</xdr:colOff>
      <xdr:row>1</xdr:row>
      <xdr:rowOff>14557</xdr:rowOff>
    </xdr:from>
    <xdr:to>
      <xdr:col>4</xdr:col>
      <xdr:colOff>623072</xdr:colOff>
      <xdr:row>1</xdr:row>
      <xdr:rowOff>374557</xdr:rowOff>
    </xdr:to>
    <xdr:pic macro="[0]!Insertar_fila">
      <xdr:nvPicPr>
        <xdr:cNvPr id="10" name="Gráfico 9" descr="Insignia de seguir contorno">
          <a:extLst>
            <a:ext uri="{FF2B5EF4-FFF2-40B4-BE49-F238E27FC236}">
              <a16:creationId xmlns:a16="http://schemas.microsoft.com/office/drawing/2014/main" id="{56075FBA-42B8-4317-A3D5-AF3A1F720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4626429" y="114343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90714</xdr:colOff>
      <xdr:row>1</xdr:row>
      <xdr:rowOff>399143</xdr:rowOff>
    </xdr:from>
    <xdr:to>
      <xdr:col>3</xdr:col>
      <xdr:colOff>780143</xdr:colOff>
      <xdr:row>1</xdr:row>
      <xdr:rowOff>527958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6BEB9D2-1077-A965-00F3-B5A1592D3A7D}"/>
            </a:ext>
          </a:extLst>
        </xdr:cNvPr>
        <xdr:cNvSpPr txBox="1"/>
      </xdr:nvSpPr>
      <xdr:spPr>
        <a:xfrm>
          <a:off x="3628571" y="498929"/>
          <a:ext cx="689429" cy="128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>
              <a:solidFill>
                <a:schemeClr val="bg1"/>
              </a:solidFill>
            </a:rPr>
            <a:t>Sort</a:t>
          </a:r>
        </a:p>
      </xdr:txBody>
    </xdr:sp>
    <xdr:clientData/>
  </xdr:twoCellAnchor>
  <xdr:twoCellAnchor>
    <xdr:from>
      <xdr:col>4</xdr:col>
      <xdr:colOff>478971</xdr:colOff>
      <xdr:row>1</xdr:row>
      <xdr:rowOff>388257</xdr:rowOff>
    </xdr:from>
    <xdr:to>
      <xdr:col>5</xdr:col>
      <xdr:colOff>342900</xdr:colOff>
      <xdr:row>1</xdr:row>
      <xdr:rowOff>517072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2FE9094A-B26F-4C52-8E44-A266476A96CB}"/>
            </a:ext>
          </a:extLst>
        </xdr:cNvPr>
        <xdr:cNvSpPr txBox="1"/>
      </xdr:nvSpPr>
      <xdr:spPr>
        <a:xfrm>
          <a:off x="4842328" y="488043"/>
          <a:ext cx="689429" cy="128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100">
              <a:solidFill>
                <a:schemeClr val="bg1"/>
              </a:solidFill>
            </a:rPr>
            <a:t>Rows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linkedin.com/in/diego-ruales/" TargetMode="External"/><Relationship Id="rId1" Type="http://schemas.openxmlformats.org/officeDocument/2006/relationships/hyperlink" Target="mailto:dynamitconsulting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94F6B-B671-4E58-81C9-19D2EFBD7AB8}">
  <sheetPr codeName="Hoja1"/>
  <dimension ref="A1:R31"/>
  <sheetViews>
    <sheetView showGridLines="0"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J5" sqref="J5"/>
    </sheetView>
  </sheetViews>
  <sheetFormatPr baseColWidth="10" defaultColWidth="0" defaultRowHeight="12.5" zeroHeight="1"/>
  <cols>
    <col min="1" max="1" width="2.90625" style="29" customWidth="1"/>
    <col min="2" max="2" width="11.6328125" style="29" customWidth="1"/>
    <col min="3" max="3" width="14.453125" style="29" customWidth="1"/>
    <col min="4" max="6" width="10.90625" style="29" customWidth="1"/>
    <col min="7" max="7" width="12.08984375" style="29" bestFit="1" customWidth="1"/>
    <col min="8" max="11" width="10.90625" style="29" customWidth="1"/>
    <col min="12" max="16" width="10.90625" style="29" hidden="1" customWidth="1"/>
    <col min="17" max="17" width="15.1796875" style="29" hidden="1" customWidth="1"/>
    <col min="18" max="18" width="4.81640625" style="29" hidden="1" customWidth="1"/>
    <col min="19" max="16384" width="10.90625" style="29" hidden="1"/>
  </cols>
  <sheetData>
    <row r="1" spans="2:16" ht="13">
      <c r="B1" s="27" t="s">
        <v>4</v>
      </c>
      <c r="C1" s="28" t="s">
        <v>5</v>
      </c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2:16" ht="14">
      <c r="B2" s="27" t="s">
        <v>3</v>
      </c>
      <c r="C2" s="30" t="s">
        <v>17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</row>
    <row r="3" spans="2:16" ht="14">
      <c r="B3" s="27" t="s">
        <v>6</v>
      </c>
      <c r="C3" s="30" t="s">
        <v>7</v>
      </c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2:16"/>
    <row r="5" spans="2:16" ht="13">
      <c r="B5" s="31" t="s">
        <v>21</v>
      </c>
      <c r="C5" s="35">
        <v>44562</v>
      </c>
    </row>
    <row r="6" spans="2:16"/>
    <row r="7" spans="2:16" ht="13">
      <c r="B7" s="32" t="s">
        <v>13</v>
      </c>
    </row>
    <row r="8" spans="2:16">
      <c r="B8" s="33" t="s">
        <v>8</v>
      </c>
    </row>
    <row r="9" spans="2:16">
      <c r="B9" s="33" t="s">
        <v>9</v>
      </c>
    </row>
    <row r="10" spans="2:16">
      <c r="B10" s="33" t="s">
        <v>10</v>
      </c>
    </row>
    <row r="11" spans="2:16">
      <c r="B11" s="33" t="s">
        <v>11</v>
      </c>
    </row>
    <row r="12" spans="2:16">
      <c r="B12" s="34" t="s">
        <v>12</v>
      </c>
    </row>
    <row r="13" spans="2:16"/>
    <row r="17" s="29" customFormat="1" hidden="1"/>
    <row r="18" s="29" customFormat="1" hidden="1"/>
    <row r="19" s="29" customFormat="1" hidden="1"/>
    <row r="20" s="29" customFormat="1" hidden="1"/>
    <row r="21" s="29" customFormat="1" hidden="1"/>
    <row r="22" s="29" customFormat="1" hidden="1"/>
    <row r="23" s="29" customFormat="1" hidden="1"/>
    <row r="24" s="29" customFormat="1" hidden="1"/>
    <row r="25" s="29" customFormat="1" hidden="1"/>
    <row r="26" s="29" customFormat="1" hidden="1"/>
    <row r="27" s="29" customFormat="1" hidden="1"/>
    <row r="28" s="29" customFormat="1" hidden="1"/>
    <row r="29" s="29" customFormat="1" hidden="1"/>
    <row r="30" s="29" customFormat="1" hidden="1"/>
    <row r="31" s="29" customFormat="1" hidden="1"/>
  </sheetData>
  <sheetProtection algorithmName="SHA-512" hashValue="HI4us7OMo0l2JBSzmxh0mLU9OJuZdOdUqFAB2+9r/J93eqATVegv9xWM4ypfndVh4lRYWbekO7TAx8tQ7BTrUQ==" saltValue="DHAq7Pcmbq2cDxV2EN0XBw==" spinCount="100000" sheet="1" objects="1" scenarios="1"/>
  <phoneticPr fontId="19" type="noConversion"/>
  <hyperlinks>
    <hyperlink ref="C2" r:id="rId1" xr:uid="{2861AB20-33C1-4FA7-A6F9-088A3BC27637}"/>
    <hyperlink ref="C3" r:id="rId2" xr:uid="{6C6E2246-9E08-4A1A-BFB0-1241FF2E4C3F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DA7BD-34AC-491C-978C-2237E1CB8465}">
  <sheetPr codeName="Hoja3"/>
  <dimension ref="B1:NY15"/>
  <sheetViews>
    <sheetView showGridLines="0" zoomScale="8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12" sqref="G12"/>
    </sheetView>
  </sheetViews>
  <sheetFormatPr baseColWidth="10" defaultColWidth="4.36328125" defaultRowHeight="11.5" zeroHeight="1" outlineLevelCol="1"/>
  <cols>
    <col min="1" max="1" width="1.453125" style="1" customWidth="1"/>
    <col min="2" max="2" width="9" style="2" customWidth="1"/>
    <col min="3" max="3" width="40.26953125" style="1" customWidth="1"/>
    <col min="4" max="23" width="11.81640625" style="2" customWidth="1" outlineLevel="1"/>
    <col min="24" max="24" width="4.7265625" style="4" customWidth="1"/>
    <col min="25" max="35" width="4.36328125" style="6" customWidth="1"/>
    <col min="36" max="159" width="4.36328125" style="7" customWidth="1"/>
    <col min="160" max="444" width="4.36328125" style="1" customWidth="1"/>
    <col min="445" max="16384" width="4.36328125" style="1"/>
  </cols>
  <sheetData>
    <row r="1" spans="2:389" ht="8.15" customHeight="1">
      <c r="B1" s="36"/>
      <c r="C1" s="37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8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0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0"/>
      <c r="BO1" s="40"/>
      <c r="BP1" s="40"/>
      <c r="BQ1" s="40"/>
      <c r="BR1" s="40"/>
      <c r="BS1" s="40"/>
      <c r="BT1" s="40"/>
      <c r="BU1" s="40"/>
      <c r="BV1" s="40"/>
      <c r="BW1" s="40"/>
      <c r="BX1" s="40"/>
      <c r="BY1" s="40"/>
      <c r="BZ1" s="40"/>
      <c r="CA1" s="40"/>
      <c r="CB1" s="40"/>
      <c r="CC1" s="40"/>
      <c r="CD1" s="40"/>
      <c r="CE1" s="40"/>
      <c r="CF1" s="40"/>
      <c r="CG1" s="40"/>
      <c r="CH1" s="40"/>
      <c r="CI1" s="40"/>
      <c r="CJ1" s="40"/>
      <c r="CK1" s="40"/>
      <c r="CL1" s="40"/>
      <c r="CM1" s="40"/>
      <c r="CN1" s="40"/>
      <c r="CO1" s="40"/>
      <c r="CP1" s="40"/>
      <c r="CQ1" s="40"/>
      <c r="CR1" s="40"/>
      <c r="CS1" s="40"/>
      <c r="CT1" s="40"/>
      <c r="CU1" s="40"/>
      <c r="CV1" s="40"/>
      <c r="CW1" s="40"/>
      <c r="CX1" s="40"/>
      <c r="CY1" s="40"/>
      <c r="CZ1" s="40"/>
      <c r="DA1" s="40"/>
      <c r="DB1" s="40"/>
      <c r="DC1" s="40"/>
      <c r="DD1" s="40"/>
      <c r="DE1" s="40"/>
      <c r="DF1" s="40"/>
      <c r="DG1" s="40"/>
      <c r="DH1" s="40"/>
      <c r="DI1" s="40"/>
      <c r="DJ1" s="40"/>
      <c r="DK1" s="40"/>
      <c r="DL1" s="40"/>
      <c r="DM1" s="40"/>
      <c r="DN1" s="40"/>
      <c r="DO1" s="40"/>
      <c r="DP1" s="40"/>
      <c r="DQ1" s="40"/>
      <c r="DR1" s="40"/>
      <c r="DS1" s="40"/>
      <c r="DT1" s="40"/>
      <c r="DU1" s="40"/>
      <c r="DV1" s="40"/>
      <c r="DW1" s="40"/>
      <c r="DX1" s="40"/>
      <c r="DY1" s="40"/>
      <c r="DZ1" s="40"/>
      <c r="EA1" s="40"/>
      <c r="EB1" s="40"/>
      <c r="EC1" s="40"/>
      <c r="ED1" s="40"/>
      <c r="EE1" s="40"/>
      <c r="EF1" s="40"/>
      <c r="EG1" s="40"/>
      <c r="EH1" s="40"/>
      <c r="EI1" s="40"/>
      <c r="EJ1" s="40"/>
      <c r="EK1" s="40"/>
      <c r="EL1" s="40"/>
      <c r="EM1" s="40"/>
      <c r="EN1" s="40"/>
      <c r="EO1" s="40"/>
      <c r="EP1" s="40"/>
      <c r="EQ1" s="40"/>
      <c r="ER1" s="40"/>
      <c r="ES1" s="40"/>
      <c r="ET1" s="40"/>
      <c r="EU1" s="40"/>
      <c r="EV1" s="40"/>
      <c r="EW1" s="40"/>
      <c r="EX1" s="40"/>
      <c r="EY1" s="40"/>
      <c r="EZ1" s="40"/>
      <c r="FA1" s="40"/>
      <c r="FB1" s="40"/>
      <c r="FC1" s="40"/>
      <c r="FD1" s="37"/>
      <c r="FE1" s="37"/>
      <c r="FF1" s="37"/>
      <c r="FG1" s="37"/>
      <c r="FH1" s="37"/>
      <c r="FI1" s="37"/>
      <c r="FJ1" s="37"/>
      <c r="FK1" s="37"/>
      <c r="FL1" s="37"/>
      <c r="FM1" s="37"/>
      <c r="FN1" s="37"/>
      <c r="FO1" s="37"/>
      <c r="FP1" s="37"/>
      <c r="FQ1" s="37"/>
      <c r="FR1" s="37"/>
      <c r="FS1" s="37"/>
      <c r="FT1" s="37"/>
      <c r="FU1" s="37"/>
      <c r="FV1" s="37"/>
      <c r="FW1" s="37"/>
      <c r="FX1" s="37"/>
      <c r="FY1" s="37"/>
      <c r="FZ1" s="37"/>
      <c r="GA1" s="37"/>
      <c r="GB1" s="37"/>
      <c r="GC1" s="37"/>
      <c r="GD1" s="37"/>
      <c r="GE1" s="37"/>
      <c r="GF1" s="37"/>
      <c r="GG1" s="37"/>
      <c r="GH1" s="37"/>
      <c r="GI1" s="37"/>
      <c r="GJ1" s="37"/>
      <c r="GK1" s="37"/>
      <c r="GL1" s="37"/>
      <c r="GM1" s="37"/>
      <c r="GN1" s="37"/>
      <c r="GO1" s="37"/>
      <c r="GP1" s="37"/>
      <c r="GQ1" s="37"/>
      <c r="GR1" s="37"/>
      <c r="GS1" s="37"/>
      <c r="GT1" s="37"/>
      <c r="GU1" s="37"/>
      <c r="GV1" s="37"/>
      <c r="GW1" s="37"/>
      <c r="GX1" s="37"/>
      <c r="GY1" s="37"/>
      <c r="GZ1" s="37"/>
      <c r="HA1" s="37"/>
      <c r="HB1" s="37"/>
      <c r="HC1" s="37"/>
      <c r="HD1" s="37"/>
      <c r="HE1" s="37"/>
      <c r="HF1" s="37"/>
      <c r="HG1" s="37"/>
      <c r="HH1" s="37"/>
      <c r="HI1" s="37"/>
      <c r="HJ1" s="37"/>
      <c r="HK1" s="37"/>
      <c r="HL1" s="37"/>
      <c r="HM1" s="37"/>
      <c r="HN1" s="37"/>
      <c r="HO1" s="37"/>
      <c r="HP1" s="37"/>
      <c r="HQ1" s="37"/>
      <c r="HR1" s="37"/>
      <c r="HS1" s="37"/>
      <c r="HT1" s="37"/>
      <c r="HU1" s="37"/>
      <c r="HV1" s="37"/>
      <c r="HW1" s="37"/>
      <c r="HX1" s="37"/>
      <c r="HY1" s="37"/>
      <c r="HZ1" s="37"/>
      <c r="IA1" s="37"/>
      <c r="IB1" s="37"/>
      <c r="IC1" s="37"/>
      <c r="ID1" s="37"/>
      <c r="IE1" s="37"/>
      <c r="IF1" s="37"/>
      <c r="IG1" s="37"/>
      <c r="IH1" s="37"/>
      <c r="II1" s="37"/>
      <c r="IJ1" s="37"/>
      <c r="IK1" s="37"/>
      <c r="IL1" s="37"/>
      <c r="IM1" s="37"/>
      <c r="IN1" s="37"/>
      <c r="IO1" s="37"/>
      <c r="IP1" s="37"/>
      <c r="IQ1" s="37"/>
      <c r="IR1" s="37"/>
      <c r="IS1" s="37"/>
      <c r="IT1" s="37"/>
      <c r="IU1" s="37"/>
      <c r="IV1" s="37"/>
      <c r="IW1" s="37"/>
      <c r="IX1" s="37"/>
      <c r="IY1" s="37"/>
      <c r="IZ1" s="37"/>
      <c r="JA1" s="37"/>
      <c r="JB1" s="37"/>
      <c r="JC1" s="37"/>
      <c r="JD1" s="37"/>
      <c r="JE1" s="37"/>
      <c r="JF1" s="37"/>
      <c r="JG1" s="37"/>
      <c r="JH1" s="37"/>
      <c r="JI1" s="37"/>
      <c r="JJ1" s="37"/>
      <c r="JK1" s="37"/>
      <c r="JL1" s="37"/>
      <c r="JM1" s="37"/>
      <c r="JN1" s="37"/>
      <c r="JO1" s="37"/>
      <c r="JP1" s="37"/>
      <c r="JQ1" s="37"/>
      <c r="JR1" s="37"/>
      <c r="JS1" s="37"/>
      <c r="JT1" s="37"/>
      <c r="JU1" s="37"/>
      <c r="JV1" s="37"/>
      <c r="JW1" s="37"/>
      <c r="JX1" s="37"/>
      <c r="JY1" s="37"/>
      <c r="JZ1" s="37"/>
      <c r="KA1" s="37"/>
      <c r="KB1" s="37"/>
      <c r="KC1" s="37"/>
      <c r="KD1" s="37"/>
      <c r="KE1" s="37"/>
      <c r="KF1" s="37"/>
      <c r="KG1" s="37"/>
      <c r="KH1" s="37"/>
      <c r="KI1" s="37"/>
      <c r="KJ1" s="37"/>
      <c r="KK1" s="37"/>
      <c r="KL1" s="37"/>
      <c r="KM1" s="37"/>
      <c r="KN1" s="37"/>
      <c r="KO1" s="37"/>
      <c r="KP1" s="37"/>
      <c r="KQ1" s="37"/>
      <c r="KR1" s="37"/>
      <c r="KS1" s="37"/>
      <c r="KT1" s="37"/>
      <c r="KU1" s="37"/>
      <c r="KV1" s="37"/>
      <c r="KW1" s="37"/>
      <c r="KX1" s="37"/>
      <c r="KY1" s="37"/>
      <c r="KZ1" s="37"/>
      <c r="LA1" s="37"/>
      <c r="LB1" s="37"/>
      <c r="LC1" s="37"/>
      <c r="LD1" s="37"/>
      <c r="LE1" s="37"/>
      <c r="LF1" s="37"/>
      <c r="LG1" s="37"/>
      <c r="LH1" s="37"/>
      <c r="LI1" s="37"/>
      <c r="LJ1" s="37"/>
      <c r="LK1" s="37"/>
      <c r="LL1" s="37"/>
      <c r="LM1" s="37"/>
      <c r="LN1" s="37"/>
      <c r="LO1" s="37"/>
      <c r="LP1" s="37"/>
      <c r="LQ1" s="37"/>
      <c r="LR1" s="37"/>
      <c r="LS1" s="37"/>
      <c r="LT1" s="37"/>
      <c r="LU1" s="37"/>
      <c r="LV1" s="37"/>
      <c r="LW1" s="37"/>
      <c r="LX1" s="37"/>
      <c r="LY1" s="37"/>
      <c r="LZ1" s="37"/>
      <c r="MA1" s="37"/>
      <c r="MB1" s="37"/>
      <c r="MC1" s="37"/>
      <c r="MD1" s="37"/>
      <c r="ME1" s="37"/>
      <c r="MF1" s="37"/>
      <c r="MG1" s="37"/>
      <c r="MH1" s="37"/>
      <c r="MI1" s="37"/>
      <c r="MJ1" s="37"/>
      <c r="MK1" s="37"/>
      <c r="ML1" s="37"/>
      <c r="MM1" s="37"/>
      <c r="MN1" s="37"/>
      <c r="MO1" s="37"/>
      <c r="MP1" s="37"/>
      <c r="MQ1" s="37"/>
      <c r="MR1" s="37"/>
      <c r="MS1" s="37"/>
      <c r="MT1" s="37"/>
      <c r="MU1" s="37"/>
      <c r="MV1" s="37"/>
      <c r="MW1" s="37"/>
      <c r="MX1" s="37"/>
      <c r="MY1" s="37"/>
      <c r="MZ1" s="37"/>
      <c r="NA1" s="37"/>
      <c r="NB1" s="37"/>
      <c r="NC1" s="37"/>
      <c r="ND1" s="37"/>
      <c r="NE1" s="37"/>
      <c r="NF1" s="37"/>
      <c r="NG1" s="37"/>
      <c r="NH1" s="37"/>
      <c r="NI1" s="37"/>
      <c r="NJ1" s="37"/>
      <c r="NK1" s="37"/>
      <c r="NL1" s="37"/>
      <c r="NM1" s="37"/>
      <c r="NN1" s="37"/>
      <c r="NO1" s="37"/>
      <c r="NP1" s="37"/>
      <c r="NQ1" s="37"/>
      <c r="NR1" s="37"/>
      <c r="NS1" s="37"/>
      <c r="NT1" s="37"/>
      <c r="NU1" s="37"/>
      <c r="NV1" s="37"/>
      <c r="NW1" s="37"/>
      <c r="NX1" s="37"/>
      <c r="NY1" s="37"/>
    </row>
    <row r="2" spans="2:389" ht="43" customHeight="1">
      <c r="B2" s="41" t="s">
        <v>14</v>
      </c>
      <c r="C2" s="42"/>
      <c r="D2" s="43"/>
      <c r="E2" s="43"/>
      <c r="F2" s="43"/>
      <c r="G2" s="43"/>
      <c r="H2" s="43"/>
      <c r="I2" s="43"/>
      <c r="J2" s="43"/>
      <c r="K2" s="44"/>
      <c r="L2" s="44"/>
      <c r="M2" s="44"/>
      <c r="N2" s="44"/>
      <c r="O2" s="44"/>
      <c r="P2" s="43"/>
      <c r="Q2" s="43"/>
      <c r="R2" s="43"/>
      <c r="S2" s="43"/>
      <c r="T2" s="43"/>
      <c r="U2" s="43"/>
      <c r="V2" s="43"/>
      <c r="W2" s="43"/>
      <c r="X2" s="38"/>
      <c r="Y2" s="39"/>
      <c r="Z2" s="45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0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0"/>
      <c r="BO2" s="40"/>
      <c r="BP2" s="40"/>
      <c r="BQ2" s="40"/>
      <c r="BR2" s="40"/>
      <c r="BS2" s="40"/>
      <c r="BT2" s="40"/>
      <c r="BU2" s="40"/>
      <c r="BV2" s="40"/>
      <c r="BW2" s="40"/>
      <c r="BX2" s="40"/>
      <c r="BY2" s="40"/>
      <c r="BZ2" s="40"/>
      <c r="CA2" s="40"/>
      <c r="CB2" s="40"/>
      <c r="CC2" s="40"/>
      <c r="CD2" s="40"/>
      <c r="CE2" s="40"/>
      <c r="CF2" s="40"/>
      <c r="CG2" s="40"/>
      <c r="CH2" s="40"/>
      <c r="CI2" s="40"/>
      <c r="CJ2" s="40"/>
      <c r="CK2" s="40"/>
      <c r="CL2" s="40"/>
      <c r="CM2" s="40"/>
      <c r="CN2" s="40"/>
      <c r="CO2" s="40"/>
      <c r="CP2" s="40"/>
      <c r="CQ2" s="40"/>
      <c r="CR2" s="40"/>
      <c r="CS2" s="40"/>
      <c r="CT2" s="40"/>
      <c r="CU2" s="40"/>
      <c r="CV2" s="40"/>
      <c r="CW2" s="40"/>
      <c r="CX2" s="40"/>
      <c r="CY2" s="40"/>
      <c r="CZ2" s="40"/>
      <c r="DA2" s="40"/>
      <c r="DB2" s="40"/>
      <c r="DC2" s="40"/>
      <c r="DD2" s="40"/>
      <c r="DE2" s="40"/>
      <c r="DF2" s="40"/>
      <c r="DG2" s="40"/>
      <c r="DH2" s="40"/>
      <c r="DI2" s="40"/>
      <c r="DJ2" s="40"/>
      <c r="DK2" s="40"/>
      <c r="DL2" s="40"/>
      <c r="DM2" s="40"/>
      <c r="DN2" s="40"/>
      <c r="DO2" s="40"/>
      <c r="DP2" s="40"/>
      <c r="DQ2" s="40"/>
      <c r="DR2" s="40"/>
      <c r="DS2" s="40"/>
      <c r="DT2" s="40"/>
      <c r="DU2" s="40"/>
      <c r="DV2" s="40"/>
      <c r="DW2" s="40"/>
      <c r="DX2" s="40"/>
      <c r="DY2" s="40"/>
      <c r="DZ2" s="40"/>
      <c r="EA2" s="40"/>
      <c r="EB2" s="40"/>
      <c r="EC2" s="40"/>
      <c r="ED2" s="40"/>
      <c r="EE2" s="40"/>
      <c r="EF2" s="40"/>
      <c r="EG2" s="40"/>
      <c r="EH2" s="40"/>
      <c r="EI2" s="40"/>
      <c r="EJ2" s="40"/>
      <c r="EK2" s="40"/>
      <c r="EL2" s="40"/>
      <c r="EM2" s="40"/>
      <c r="EN2" s="40"/>
      <c r="EO2" s="40"/>
      <c r="EP2" s="40"/>
      <c r="EQ2" s="40"/>
      <c r="ER2" s="40"/>
      <c r="ES2" s="40"/>
      <c r="ET2" s="40"/>
      <c r="EU2" s="40"/>
      <c r="EV2" s="40"/>
      <c r="EW2" s="40"/>
      <c r="EX2" s="40"/>
      <c r="EY2" s="40"/>
      <c r="EZ2" s="40"/>
      <c r="FA2" s="40"/>
      <c r="FB2" s="40"/>
      <c r="FC2" s="40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</row>
    <row r="3" spans="2:389" ht="13.5" customHeight="1">
      <c r="B3" s="46"/>
      <c r="C3" s="37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8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M3" s="39"/>
      <c r="CN3" s="39"/>
      <c r="CO3" s="39"/>
      <c r="CP3" s="39"/>
      <c r="CQ3" s="39"/>
      <c r="CR3" s="39"/>
      <c r="CS3" s="39"/>
      <c r="CT3" s="39"/>
      <c r="CU3" s="39"/>
      <c r="CV3" s="39"/>
      <c r="CW3" s="39"/>
      <c r="CX3" s="39"/>
      <c r="CY3" s="39"/>
      <c r="CZ3" s="39"/>
      <c r="DA3" s="39"/>
      <c r="DB3" s="39"/>
      <c r="DC3" s="39"/>
      <c r="DD3" s="39"/>
      <c r="DE3" s="39"/>
      <c r="DF3" s="39"/>
      <c r="DG3" s="39"/>
      <c r="DH3" s="39"/>
      <c r="DI3" s="39"/>
      <c r="DJ3" s="39"/>
      <c r="DK3" s="39"/>
      <c r="DL3" s="39"/>
      <c r="DM3" s="39"/>
      <c r="DN3" s="39"/>
      <c r="DO3" s="39"/>
      <c r="DP3" s="39"/>
      <c r="DQ3" s="39"/>
      <c r="DR3" s="39"/>
      <c r="DS3" s="39"/>
      <c r="DT3" s="39"/>
      <c r="DU3" s="39"/>
      <c r="DV3" s="39"/>
      <c r="DW3" s="39"/>
      <c r="DX3" s="39"/>
      <c r="DY3" s="39"/>
      <c r="DZ3" s="39"/>
      <c r="EA3" s="39"/>
      <c r="EB3" s="39"/>
      <c r="EC3" s="39"/>
      <c r="ED3" s="39"/>
      <c r="EE3" s="39"/>
      <c r="EF3" s="39"/>
      <c r="EG3" s="39"/>
      <c r="EH3" s="39"/>
      <c r="EI3" s="39"/>
      <c r="EJ3" s="39"/>
      <c r="EK3" s="39"/>
      <c r="EL3" s="39"/>
      <c r="EM3" s="39"/>
      <c r="EN3" s="39"/>
      <c r="EO3" s="39"/>
      <c r="EP3" s="39"/>
      <c r="EQ3" s="39"/>
      <c r="ER3" s="39"/>
      <c r="ES3" s="39"/>
      <c r="ET3" s="39"/>
      <c r="EU3" s="39"/>
      <c r="EV3" s="39"/>
      <c r="EW3" s="39"/>
      <c r="EX3" s="39"/>
      <c r="EY3" s="39"/>
      <c r="EZ3" s="39"/>
      <c r="FA3" s="39"/>
      <c r="FB3" s="39"/>
      <c r="FC3" s="39"/>
      <c r="FD3" s="37"/>
      <c r="FE3" s="37"/>
      <c r="FF3" s="37"/>
      <c r="FG3" s="37"/>
      <c r="FH3" s="37"/>
      <c r="FI3" s="37"/>
      <c r="FJ3" s="37"/>
      <c r="FK3" s="37"/>
      <c r="FL3" s="37"/>
      <c r="FM3" s="37"/>
      <c r="FN3" s="37"/>
      <c r="FO3" s="37"/>
      <c r="FP3" s="37"/>
      <c r="FQ3" s="37"/>
      <c r="FR3" s="37"/>
      <c r="FS3" s="37"/>
      <c r="FT3" s="37"/>
      <c r="FU3" s="37"/>
      <c r="FV3" s="37"/>
      <c r="FW3" s="37"/>
      <c r="FX3" s="37"/>
      <c r="FY3" s="37"/>
      <c r="FZ3" s="37"/>
      <c r="GA3" s="37"/>
      <c r="GB3" s="37"/>
      <c r="GC3" s="37"/>
      <c r="GD3" s="37"/>
      <c r="GE3" s="37"/>
      <c r="GF3" s="37"/>
      <c r="GG3" s="37"/>
      <c r="GH3" s="37"/>
      <c r="GI3" s="37"/>
      <c r="GJ3" s="37"/>
      <c r="GK3" s="37"/>
      <c r="GL3" s="37"/>
      <c r="GM3" s="37"/>
      <c r="GN3" s="37"/>
      <c r="GO3" s="37"/>
      <c r="GP3" s="37"/>
      <c r="GQ3" s="37"/>
      <c r="GR3" s="37"/>
      <c r="GS3" s="37"/>
      <c r="GT3" s="37"/>
      <c r="GU3" s="37"/>
      <c r="GV3" s="37"/>
      <c r="GW3" s="37"/>
      <c r="GX3" s="37"/>
      <c r="GY3" s="37"/>
      <c r="GZ3" s="37"/>
      <c r="HA3" s="37"/>
      <c r="HB3" s="37"/>
      <c r="HC3" s="37"/>
      <c r="HD3" s="37"/>
      <c r="HE3" s="37"/>
      <c r="HF3" s="37"/>
      <c r="HG3" s="37"/>
      <c r="HH3" s="37"/>
      <c r="HI3" s="37"/>
      <c r="HJ3" s="37"/>
      <c r="HK3" s="37"/>
      <c r="HL3" s="37"/>
      <c r="HM3" s="37"/>
      <c r="HN3" s="37"/>
      <c r="HO3" s="37"/>
      <c r="HP3" s="37"/>
      <c r="HQ3" s="37"/>
      <c r="HR3" s="37"/>
      <c r="HS3" s="37"/>
      <c r="HT3" s="37"/>
      <c r="HU3" s="37"/>
      <c r="HV3" s="37"/>
      <c r="HW3" s="37"/>
      <c r="HX3" s="37"/>
      <c r="HY3" s="37"/>
      <c r="HZ3" s="37"/>
      <c r="IA3" s="37"/>
      <c r="IB3" s="37"/>
      <c r="IC3" s="37"/>
      <c r="ID3" s="37"/>
      <c r="IE3" s="37"/>
      <c r="IF3" s="37"/>
      <c r="IG3" s="37"/>
      <c r="IH3" s="37"/>
      <c r="II3" s="37"/>
      <c r="IJ3" s="37"/>
      <c r="IK3" s="37"/>
      <c r="IL3" s="37"/>
      <c r="IM3" s="37"/>
      <c r="IN3" s="37"/>
      <c r="IO3" s="37"/>
      <c r="IP3" s="37"/>
      <c r="IQ3" s="37"/>
      <c r="IR3" s="37"/>
      <c r="IS3" s="37"/>
      <c r="IT3" s="37"/>
      <c r="IU3" s="37"/>
      <c r="IV3" s="37"/>
      <c r="IW3" s="37"/>
      <c r="IX3" s="37"/>
      <c r="IY3" s="37"/>
      <c r="IZ3" s="37"/>
      <c r="JA3" s="37"/>
      <c r="JB3" s="37"/>
      <c r="JC3" s="37"/>
      <c r="JD3" s="37"/>
      <c r="JE3" s="37"/>
      <c r="JF3" s="37"/>
      <c r="JG3" s="37"/>
      <c r="JH3" s="37"/>
      <c r="JI3" s="37"/>
      <c r="JJ3" s="37"/>
      <c r="JK3" s="37"/>
      <c r="JL3" s="37"/>
      <c r="JM3" s="37"/>
      <c r="JN3" s="37"/>
      <c r="JO3" s="37"/>
      <c r="JP3" s="37"/>
      <c r="JQ3" s="37"/>
      <c r="JR3" s="37"/>
      <c r="JS3" s="37"/>
      <c r="JT3" s="37"/>
      <c r="JU3" s="37"/>
      <c r="JV3" s="37"/>
      <c r="JW3" s="37"/>
      <c r="JX3" s="37"/>
      <c r="JY3" s="37"/>
      <c r="JZ3" s="37"/>
      <c r="KA3" s="37"/>
      <c r="KB3" s="37"/>
      <c r="KC3" s="37"/>
      <c r="KD3" s="37"/>
      <c r="KE3" s="37"/>
      <c r="KF3" s="37"/>
      <c r="KG3" s="37"/>
      <c r="KH3" s="37"/>
      <c r="KI3" s="37"/>
      <c r="KJ3" s="37"/>
      <c r="KK3" s="37"/>
      <c r="KL3" s="37"/>
      <c r="KM3" s="37"/>
      <c r="KN3" s="37"/>
      <c r="KO3" s="37"/>
      <c r="KP3" s="37"/>
      <c r="KQ3" s="37"/>
      <c r="KR3" s="37"/>
      <c r="KS3" s="37"/>
      <c r="KT3" s="37"/>
      <c r="KU3" s="37"/>
      <c r="KV3" s="37"/>
      <c r="KW3" s="37"/>
      <c r="KX3" s="37"/>
      <c r="KY3" s="37"/>
      <c r="KZ3" s="37"/>
      <c r="LA3" s="37"/>
      <c r="LB3" s="37"/>
      <c r="LC3" s="37"/>
      <c r="LD3" s="37"/>
      <c r="LE3" s="37"/>
      <c r="LF3" s="37"/>
      <c r="LG3" s="37"/>
      <c r="LH3" s="37"/>
      <c r="LI3" s="37"/>
      <c r="LJ3" s="37"/>
      <c r="LK3" s="37"/>
      <c r="LL3" s="37"/>
      <c r="LM3" s="37"/>
      <c r="LN3" s="37"/>
      <c r="LO3" s="37"/>
      <c r="LP3" s="37"/>
      <c r="LQ3" s="37"/>
      <c r="LR3" s="37"/>
      <c r="LS3" s="37"/>
      <c r="LT3" s="37"/>
      <c r="LU3" s="37"/>
      <c r="LV3" s="37"/>
      <c r="LW3" s="37"/>
      <c r="LX3" s="37"/>
      <c r="LY3" s="37"/>
      <c r="LZ3" s="37"/>
      <c r="MA3" s="37"/>
      <c r="MB3" s="37"/>
      <c r="MC3" s="37"/>
      <c r="MD3" s="37"/>
      <c r="ME3" s="37"/>
      <c r="MF3" s="37"/>
      <c r="MG3" s="37"/>
      <c r="MH3" s="37"/>
      <c r="MI3" s="37"/>
      <c r="MJ3" s="37"/>
      <c r="MK3" s="37"/>
      <c r="ML3" s="37"/>
      <c r="MM3" s="37"/>
      <c r="MN3" s="37"/>
      <c r="MO3" s="37"/>
      <c r="MP3" s="37"/>
      <c r="MQ3" s="37"/>
      <c r="MR3" s="37"/>
      <c r="MS3" s="37"/>
      <c r="MT3" s="37"/>
      <c r="MU3" s="37"/>
      <c r="MV3" s="37"/>
      <c r="MW3" s="37"/>
      <c r="MX3" s="37"/>
      <c r="MY3" s="37"/>
      <c r="MZ3" s="37"/>
      <c r="NA3" s="37"/>
      <c r="NB3" s="37"/>
      <c r="NC3" s="37"/>
      <c r="ND3" s="37"/>
      <c r="NE3" s="37"/>
      <c r="NF3" s="37"/>
      <c r="NG3" s="37"/>
      <c r="NH3" s="37"/>
      <c r="NI3" s="37"/>
      <c r="NJ3" s="37"/>
      <c r="NK3" s="37"/>
      <c r="NL3" s="37"/>
      <c r="NM3" s="37"/>
      <c r="NN3" s="37"/>
      <c r="NO3" s="37"/>
      <c r="NP3" s="37"/>
      <c r="NQ3" s="37"/>
      <c r="NR3" s="37"/>
      <c r="NS3" s="37"/>
      <c r="NT3" s="37"/>
      <c r="NU3" s="37"/>
      <c r="NV3" s="37"/>
      <c r="NW3" s="37"/>
      <c r="NX3" s="37"/>
      <c r="NY3" s="37"/>
    </row>
    <row r="4" spans="2:389" s="3" customFormat="1" ht="21.65" customHeight="1">
      <c r="B4" s="48" t="s">
        <v>0</v>
      </c>
      <c r="C4" s="48" t="s">
        <v>1</v>
      </c>
      <c r="D4" s="50" t="str">
        <f>Input!$B$8</f>
        <v>1. Initiation</v>
      </c>
      <c r="E4" s="50"/>
      <c r="F4" s="50"/>
      <c r="G4" s="50"/>
      <c r="H4" s="52" t="str">
        <f>Input!$B$9</f>
        <v>2. Planning</v>
      </c>
      <c r="I4" s="52"/>
      <c r="J4" s="52"/>
      <c r="K4" s="52"/>
      <c r="L4" s="54" t="str">
        <f>Input!$B$10</f>
        <v>3. Execution</v>
      </c>
      <c r="M4" s="54"/>
      <c r="N4" s="54"/>
      <c r="O4" s="54"/>
      <c r="P4" s="53" t="str">
        <f>Input!$B$11</f>
        <v>4. Monitoring</v>
      </c>
      <c r="Q4" s="53"/>
      <c r="R4" s="53"/>
      <c r="S4" s="53"/>
      <c r="T4" s="51" t="str">
        <f>Input!$B$12</f>
        <v>5. Closure</v>
      </c>
      <c r="U4" s="51"/>
      <c r="V4" s="51"/>
      <c r="W4" s="51"/>
      <c r="X4" s="47"/>
      <c r="Y4" s="25">
        <f>YEAR(Y5)</f>
        <v>2022</v>
      </c>
      <c r="Z4" s="25" t="str">
        <f>IF(YEAR(Z5)=YEAR(Y5),"",YEAR(Z5))</f>
        <v/>
      </c>
      <c r="AA4" s="25" t="str">
        <f t="shared" ref="AA4:CL4" si="0">IF(YEAR(AA5)=YEAR(Z5),"",YEAR(AA5))</f>
        <v/>
      </c>
      <c r="AB4" s="25" t="str">
        <f t="shared" si="0"/>
        <v/>
      </c>
      <c r="AC4" s="25" t="str">
        <f t="shared" si="0"/>
        <v/>
      </c>
      <c r="AD4" s="25" t="str">
        <f t="shared" si="0"/>
        <v/>
      </c>
      <c r="AE4" s="25" t="str">
        <f t="shared" si="0"/>
        <v/>
      </c>
      <c r="AF4" s="25" t="str">
        <f t="shared" si="0"/>
        <v/>
      </c>
      <c r="AG4" s="25" t="str">
        <f t="shared" si="0"/>
        <v/>
      </c>
      <c r="AH4" s="25" t="str">
        <f t="shared" si="0"/>
        <v/>
      </c>
      <c r="AI4" s="25" t="str">
        <f t="shared" si="0"/>
        <v/>
      </c>
      <c r="AJ4" s="25" t="str">
        <f t="shared" si="0"/>
        <v/>
      </c>
      <c r="AK4" s="25" t="str">
        <f t="shared" si="0"/>
        <v/>
      </c>
      <c r="AL4" s="25" t="str">
        <f t="shared" si="0"/>
        <v/>
      </c>
      <c r="AM4" s="25" t="str">
        <f t="shared" si="0"/>
        <v/>
      </c>
      <c r="AN4" s="25" t="str">
        <f t="shared" si="0"/>
        <v/>
      </c>
      <c r="AO4" s="25" t="str">
        <f t="shared" si="0"/>
        <v/>
      </c>
      <c r="AP4" s="25" t="str">
        <f t="shared" si="0"/>
        <v/>
      </c>
      <c r="AQ4" s="25" t="str">
        <f t="shared" si="0"/>
        <v/>
      </c>
      <c r="AR4" s="25" t="str">
        <f t="shared" si="0"/>
        <v/>
      </c>
      <c r="AS4" s="25" t="str">
        <f t="shared" si="0"/>
        <v/>
      </c>
      <c r="AT4" s="25" t="str">
        <f t="shared" si="0"/>
        <v/>
      </c>
      <c r="AU4" s="25" t="str">
        <f t="shared" si="0"/>
        <v/>
      </c>
      <c r="AV4" s="25" t="str">
        <f t="shared" si="0"/>
        <v/>
      </c>
      <c r="AW4" s="25" t="str">
        <f t="shared" si="0"/>
        <v/>
      </c>
      <c r="AX4" s="25" t="str">
        <f t="shared" si="0"/>
        <v/>
      </c>
      <c r="AY4" s="25" t="str">
        <f t="shared" si="0"/>
        <v/>
      </c>
      <c r="AZ4" s="25" t="str">
        <f t="shared" si="0"/>
        <v/>
      </c>
      <c r="BA4" s="25" t="str">
        <f t="shared" si="0"/>
        <v/>
      </c>
      <c r="BB4" s="25" t="str">
        <f t="shared" si="0"/>
        <v/>
      </c>
      <c r="BC4" s="25" t="str">
        <f t="shared" si="0"/>
        <v/>
      </c>
      <c r="BD4" s="25" t="str">
        <f t="shared" si="0"/>
        <v/>
      </c>
      <c r="BE4" s="25" t="str">
        <f t="shared" si="0"/>
        <v/>
      </c>
      <c r="BF4" s="25" t="str">
        <f t="shared" si="0"/>
        <v/>
      </c>
      <c r="BG4" s="25" t="str">
        <f t="shared" si="0"/>
        <v/>
      </c>
      <c r="BH4" s="25" t="str">
        <f t="shared" si="0"/>
        <v/>
      </c>
      <c r="BI4" s="25" t="str">
        <f t="shared" si="0"/>
        <v/>
      </c>
      <c r="BJ4" s="25" t="str">
        <f t="shared" si="0"/>
        <v/>
      </c>
      <c r="BK4" s="25" t="str">
        <f t="shared" si="0"/>
        <v/>
      </c>
      <c r="BL4" s="25" t="str">
        <f t="shared" si="0"/>
        <v/>
      </c>
      <c r="BM4" s="25" t="str">
        <f t="shared" si="0"/>
        <v/>
      </c>
      <c r="BN4" s="25" t="str">
        <f t="shared" si="0"/>
        <v/>
      </c>
      <c r="BO4" s="25" t="str">
        <f t="shared" si="0"/>
        <v/>
      </c>
      <c r="BP4" s="25" t="str">
        <f t="shared" si="0"/>
        <v/>
      </c>
      <c r="BQ4" s="25" t="str">
        <f t="shared" si="0"/>
        <v/>
      </c>
      <c r="BR4" s="25" t="str">
        <f t="shared" si="0"/>
        <v/>
      </c>
      <c r="BS4" s="25" t="str">
        <f t="shared" si="0"/>
        <v/>
      </c>
      <c r="BT4" s="25" t="str">
        <f t="shared" si="0"/>
        <v/>
      </c>
      <c r="BU4" s="25" t="str">
        <f t="shared" si="0"/>
        <v/>
      </c>
      <c r="BV4" s="25" t="str">
        <f t="shared" si="0"/>
        <v/>
      </c>
      <c r="BW4" s="25" t="str">
        <f t="shared" si="0"/>
        <v/>
      </c>
      <c r="BX4" s="25" t="str">
        <f t="shared" si="0"/>
        <v/>
      </c>
      <c r="BY4" s="25" t="str">
        <f t="shared" si="0"/>
        <v/>
      </c>
      <c r="BZ4" s="25" t="str">
        <f t="shared" si="0"/>
        <v/>
      </c>
      <c r="CA4" s="25" t="str">
        <f t="shared" si="0"/>
        <v/>
      </c>
      <c r="CB4" s="25" t="str">
        <f t="shared" si="0"/>
        <v/>
      </c>
      <c r="CC4" s="25" t="str">
        <f t="shared" si="0"/>
        <v/>
      </c>
      <c r="CD4" s="25" t="str">
        <f t="shared" si="0"/>
        <v/>
      </c>
      <c r="CE4" s="25" t="str">
        <f t="shared" si="0"/>
        <v/>
      </c>
      <c r="CF4" s="25" t="str">
        <f t="shared" si="0"/>
        <v/>
      </c>
      <c r="CG4" s="25" t="str">
        <f t="shared" si="0"/>
        <v/>
      </c>
      <c r="CH4" s="25" t="str">
        <f t="shared" si="0"/>
        <v/>
      </c>
      <c r="CI4" s="25" t="str">
        <f t="shared" si="0"/>
        <v/>
      </c>
      <c r="CJ4" s="25" t="str">
        <f t="shared" si="0"/>
        <v/>
      </c>
      <c r="CK4" s="25" t="str">
        <f t="shared" si="0"/>
        <v/>
      </c>
      <c r="CL4" s="25" t="str">
        <f t="shared" si="0"/>
        <v/>
      </c>
      <c r="CM4" s="25" t="str">
        <f t="shared" ref="CM4:EX4" si="1">IF(YEAR(CM5)=YEAR(CL5),"",YEAR(CM5))</f>
        <v/>
      </c>
      <c r="CN4" s="25" t="str">
        <f t="shared" si="1"/>
        <v/>
      </c>
      <c r="CO4" s="25" t="str">
        <f t="shared" si="1"/>
        <v/>
      </c>
      <c r="CP4" s="25" t="str">
        <f t="shared" si="1"/>
        <v/>
      </c>
      <c r="CQ4" s="25" t="str">
        <f t="shared" si="1"/>
        <v/>
      </c>
      <c r="CR4" s="25" t="str">
        <f t="shared" si="1"/>
        <v/>
      </c>
      <c r="CS4" s="25" t="str">
        <f t="shared" si="1"/>
        <v/>
      </c>
      <c r="CT4" s="25" t="str">
        <f t="shared" si="1"/>
        <v/>
      </c>
      <c r="CU4" s="25" t="str">
        <f t="shared" si="1"/>
        <v/>
      </c>
      <c r="CV4" s="25" t="str">
        <f t="shared" si="1"/>
        <v/>
      </c>
      <c r="CW4" s="25" t="str">
        <f t="shared" si="1"/>
        <v/>
      </c>
      <c r="CX4" s="25" t="str">
        <f t="shared" si="1"/>
        <v/>
      </c>
      <c r="CY4" s="25" t="str">
        <f t="shared" si="1"/>
        <v/>
      </c>
      <c r="CZ4" s="25" t="str">
        <f t="shared" si="1"/>
        <v/>
      </c>
      <c r="DA4" s="25" t="str">
        <f t="shared" si="1"/>
        <v/>
      </c>
      <c r="DB4" s="25" t="str">
        <f t="shared" si="1"/>
        <v/>
      </c>
      <c r="DC4" s="25" t="str">
        <f t="shared" si="1"/>
        <v/>
      </c>
      <c r="DD4" s="25" t="str">
        <f t="shared" si="1"/>
        <v/>
      </c>
      <c r="DE4" s="25" t="str">
        <f t="shared" si="1"/>
        <v/>
      </c>
      <c r="DF4" s="25" t="str">
        <f t="shared" si="1"/>
        <v/>
      </c>
      <c r="DG4" s="25" t="str">
        <f t="shared" si="1"/>
        <v/>
      </c>
      <c r="DH4" s="25" t="str">
        <f t="shared" si="1"/>
        <v/>
      </c>
      <c r="DI4" s="25" t="str">
        <f t="shared" si="1"/>
        <v/>
      </c>
      <c r="DJ4" s="25" t="str">
        <f t="shared" si="1"/>
        <v/>
      </c>
      <c r="DK4" s="25" t="str">
        <f t="shared" si="1"/>
        <v/>
      </c>
      <c r="DL4" s="25" t="str">
        <f t="shared" si="1"/>
        <v/>
      </c>
      <c r="DM4" s="25" t="str">
        <f t="shared" si="1"/>
        <v/>
      </c>
      <c r="DN4" s="25" t="str">
        <f t="shared" si="1"/>
        <v/>
      </c>
      <c r="DO4" s="25" t="str">
        <f t="shared" si="1"/>
        <v/>
      </c>
      <c r="DP4" s="25" t="str">
        <f t="shared" si="1"/>
        <v/>
      </c>
      <c r="DQ4" s="25" t="str">
        <f t="shared" si="1"/>
        <v/>
      </c>
      <c r="DR4" s="25" t="str">
        <f t="shared" si="1"/>
        <v/>
      </c>
      <c r="DS4" s="25" t="str">
        <f t="shared" si="1"/>
        <v/>
      </c>
      <c r="DT4" s="25" t="str">
        <f t="shared" si="1"/>
        <v/>
      </c>
      <c r="DU4" s="25" t="str">
        <f t="shared" si="1"/>
        <v/>
      </c>
      <c r="DV4" s="25" t="str">
        <f t="shared" si="1"/>
        <v/>
      </c>
      <c r="DW4" s="25" t="str">
        <f t="shared" si="1"/>
        <v/>
      </c>
      <c r="DX4" s="25" t="str">
        <f t="shared" si="1"/>
        <v/>
      </c>
      <c r="DY4" s="25" t="str">
        <f t="shared" si="1"/>
        <v/>
      </c>
      <c r="DZ4" s="25" t="str">
        <f t="shared" si="1"/>
        <v/>
      </c>
      <c r="EA4" s="25" t="str">
        <f t="shared" si="1"/>
        <v/>
      </c>
      <c r="EB4" s="25" t="str">
        <f t="shared" si="1"/>
        <v/>
      </c>
      <c r="EC4" s="25" t="str">
        <f t="shared" si="1"/>
        <v/>
      </c>
      <c r="ED4" s="25" t="str">
        <f t="shared" si="1"/>
        <v/>
      </c>
      <c r="EE4" s="25" t="str">
        <f t="shared" si="1"/>
        <v/>
      </c>
      <c r="EF4" s="25" t="str">
        <f t="shared" si="1"/>
        <v/>
      </c>
      <c r="EG4" s="25" t="str">
        <f t="shared" si="1"/>
        <v/>
      </c>
      <c r="EH4" s="25" t="str">
        <f t="shared" si="1"/>
        <v/>
      </c>
      <c r="EI4" s="25" t="str">
        <f t="shared" si="1"/>
        <v/>
      </c>
      <c r="EJ4" s="25" t="str">
        <f t="shared" si="1"/>
        <v/>
      </c>
      <c r="EK4" s="25" t="str">
        <f t="shared" si="1"/>
        <v/>
      </c>
      <c r="EL4" s="25" t="str">
        <f t="shared" si="1"/>
        <v/>
      </c>
      <c r="EM4" s="25" t="str">
        <f t="shared" si="1"/>
        <v/>
      </c>
      <c r="EN4" s="25" t="str">
        <f t="shared" si="1"/>
        <v/>
      </c>
      <c r="EO4" s="25" t="str">
        <f t="shared" si="1"/>
        <v/>
      </c>
      <c r="EP4" s="25" t="str">
        <f t="shared" si="1"/>
        <v/>
      </c>
      <c r="EQ4" s="25" t="str">
        <f t="shared" si="1"/>
        <v/>
      </c>
      <c r="ER4" s="25" t="str">
        <f t="shared" si="1"/>
        <v/>
      </c>
      <c r="ES4" s="25" t="str">
        <f t="shared" si="1"/>
        <v/>
      </c>
      <c r="ET4" s="25" t="str">
        <f t="shared" si="1"/>
        <v/>
      </c>
      <c r="EU4" s="25" t="str">
        <f t="shared" si="1"/>
        <v/>
      </c>
      <c r="EV4" s="25" t="str">
        <f t="shared" si="1"/>
        <v/>
      </c>
      <c r="EW4" s="25" t="str">
        <f t="shared" si="1"/>
        <v/>
      </c>
      <c r="EX4" s="25" t="str">
        <f t="shared" si="1"/>
        <v/>
      </c>
      <c r="EY4" s="25" t="str">
        <f t="shared" ref="EY4:FC4" si="2">IF(YEAR(EY5)=YEAR(EX5),"",YEAR(EY5))</f>
        <v/>
      </c>
      <c r="EZ4" s="25" t="str">
        <f t="shared" si="2"/>
        <v/>
      </c>
      <c r="FA4" s="25" t="str">
        <f t="shared" si="2"/>
        <v/>
      </c>
      <c r="FB4" s="25" t="str">
        <f t="shared" si="2"/>
        <v/>
      </c>
      <c r="FC4" s="25" t="str">
        <f t="shared" si="2"/>
        <v/>
      </c>
      <c r="FD4" s="25" t="str">
        <f t="shared" ref="FD4" si="3">IF(YEAR(FD5)=YEAR(FC5),"",YEAR(FD5))</f>
        <v/>
      </c>
      <c r="FE4" s="25" t="str">
        <f t="shared" ref="FE4" si="4">IF(YEAR(FE5)=YEAR(FD5),"",YEAR(FE5))</f>
        <v/>
      </c>
      <c r="FF4" s="25" t="str">
        <f t="shared" ref="FF4" si="5">IF(YEAR(FF5)=YEAR(FE5),"",YEAR(FF5))</f>
        <v/>
      </c>
      <c r="FG4" s="25" t="str">
        <f t="shared" ref="FG4" si="6">IF(YEAR(FG5)=YEAR(FF5),"",YEAR(FG5))</f>
        <v/>
      </c>
      <c r="FH4" s="25" t="str">
        <f t="shared" ref="FH4" si="7">IF(YEAR(FH5)=YEAR(FG5),"",YEAR(FH5))</f>
        <v/>
      </c>
      <c r="FI4" s="25" t="str">
        <f t="shared" ref="FI4" si="8">IF(YEAR(FI5)=YEAR(FH5),"",YEAR(FI5))</f>
        <v/>
      </c>
      <c r="FJ4" s="25" t="str">
        <f t="shared" ref="FJ4" si="9">IF(YEAR(FJ5)=YEAR(FI5),"",YEAR(FJ5))</f>
        <v/>
      </c>
      <c r="FK4" s="25" t="str">
        <f t="shared" ref="FK4" si="10">IF(YEAR(FK5)=YEAR(FJ5),"",YEAR(FK5))</f>
        <v/>
      </c>
      <c r="FL4" s="25" t="str">
        <f t="shared" ref="FL4" si="11">IF(YEAR(FL5)=YEAR(FK5),"",YEAR(FL5))</f>
        <v/>
      </c>
      <c r="FM4" s="25" t="str">
        <f t="shared" ref="FM4" si="12">IF(YEAR(FM5)=YEAR(FL5),"",YEAR(FM5))</f>
        <v/>
      </c>
      <c r="FN4" s="25" t="str">
        <f t="shared" ref="FN4" si="13">IF(YEAR(FN5)=YEAR(FM5),"",YEAR(FN5))</f>
        <v/>
      </c>
      <c r="FO4" s="25" t="str">
        <f t="shared" ref="FO4" si="14">IF(YEAR(FO5)=YEAR(FN5),"",YEAR(FO5))</f>
        <v/>
      </c>
      <c r="FP4" s="25" t="str">
        <f t="shared" ref="FP4" si="15">IF(YEAR(FP5)=YEAR(FO5),"",YEAR(FP5))</f>
        <v/>
      </c>
      <c r="FQ4" s="25" t="str">
        <f t="shared" ref="FQ4" si="16">IF(YEAR(FQ5)=YEAR(FP5),"",YEAR(FQ5))</f>
        <v/>
      </c>
      <c r="FR4" s="25" t="str">
        <f t="shared" ref="FR4" si="17">IF(YEAR(FR5)=YEAR(FQ5),"",YEAR(FR5))</f>
        <v/>
      </c>
      <c r="FS4" s="25" t="str">
        <f t="shared" ref="FS4" si="18">IF(YEAR(FS5)=YEAR(FR5),"",YEAR(FS5))</f>
        <v/>
      </c>
      <c r="FT4" s="25" t="str">
        <f t="shared" ref="FT4" si="19">IF(YEAR(FT5)=YEAR(FS5),"",YEAR(FT5))</f>
        <v/>
      </c>
      <c r="FU4" s="25" t="str">
        <f t="shared" ref="FU4" si="20">IF(YEAR(FU5)=YEAR(FT5),"",YEAR(FU5))</f>
        <v/>
      </c>
      <c r="FV4" s="25" t="str">
        <f t="shared" ref="FV4" si="21">IF(YEAR(FV5)=YEAR(FU5),"",YEAR(FV5))</f>
        <v/>
      </c>
      <c r="FW4" s="25" t="str">
        <f t="shared" ref="FW4" si="22">IF(YEAR(FW5)=YEAR(FV5),"",YEAR(FW5))</f>
        <v/>
      </c>
      <c r="FX4" s="25" t="str">
        <f t="shared" ref="FX4" si="23">IF(YEAR(FX5)=YEAR(FW5),"",YEAR(FX5))</f>
        <v/>
      </c>
      <c r="FY4" s="25" t="str">
        <f t="shared" ref="FY4" si="24">IF(YEAR(FY5)=YEAR(FX5),"",YEAR(FY5))</f>
        <v/>
      </c>
      <c r="FZ4" s="25" t="str">
        <f t="shared" ref="FZ4" si="25">IF(YEAR(FZ5)=YEAR(FY5),"",YEAR(FZ5))</f>
        <v/>
      </c>
      <c r="GA4" s="25" t="str">
        <f t="shared" ref="GA4" si="26">IF(YEAR(GA5)=YEAR(FZ5),"",YEAR(GA5))</f>
        <v/>
      </c>
      <c r="GB4" s="25" t="str">
        <f t="shared" ref="GB4" si="27">IF(YEAR(GB5)=YEAR(GA5),"",YEAR(GB5))</f>
        <v/>
      </c>
      <c r="GC4" s="25" t="str">
        <f t="shared" ref="GC4" si="28">IF(YEAR(GC5)=YEAR(GB5),"",YEAR(GC5))</f>
        <v/>
      </c>
      <c r="GD4" s="25" t="str">
        <f t="shared" ref="GD4" si="29">IF(YEAR(GD5)=YEAR(GC5),"",YEAR(GD5))</f>
        <v/>
      </c>
      <c r="GE4" s="25" t="str">
        <f t="shared" ref="GE4" si="30">IF(YEAR(GE5)=YEAR(GD5),"",YEAR(GE5))</f>
        <v/>
      </c>
      <c r="GF4" s="25" t="str">
        <f t="shared" ref="GF4" si="31">IF(YEAR(GF5)=YEAR(GE5),"",YEAR(GF5))</f>
        <v/>
      </c>
      <c r="GG4" s="25" t="str">
        <f t="shared" ref="GG4" si="32">IF(YEAR(GG5)=YEAR(GF5),"",YEAR(GG5))</f>
        <v/>
      </c>
      <c r="GH4" s="25" t="str">
        <f t="shared" ref="GH4" si="33">IF(YEAR(GH5)=YEAR(GG5),"",YEAR(GH5))</f>
        <v/>
      </c>
      <c r="GI4" s="25" t="str">
        <f t="shared" ref="GI4" si="34">IF(YEAR(GI5)=YEAR(GH5),"",YEAR(GI5))</f>
        <v/>
      </c>
      <c r="GJ4" s="25" t="str">
        <f t="shared" ref="GJ4" si="35">IF(YEAR(GJ5)=YEAR(GI5),"",YEAR(GJ5))</f>
        <v/>
      </c>
      <c r="GK4" s="25" t="str">
        <f t="shared" ref="GK4" si="36">IF(YEAR(GK5)=YEAR(GJ5),"",YEAR(GK5))</f>
        <v/>
      </c>
      <c r="GL4" s="25" t="str">
        <f t="shared" ref="GL4" si="37">IF(YEAR(GL5)=YEAR(GK5),"",YEAR(GL5))</f>
        <v/>
      </c>
      <c r="GM4" s="25" t="str">
        <f t="shared" ref="GM4" si="38">IF(YEAR(GM5)=YEAR(GL5),"",YEAR(GM5))</f>
        <v/>
      </c>
      <c r="GN4" s="25" t="str">
        <f t="shared" ref="GN4" si="39">IF(YEAR(GN5)=YEAR(GM5),"",YEAR(GN5))</f>
        <v/>
      </c>
      <c r="GO4" s="25" t="str">
        <f t="shared" ref="GO4" si="40">IF(YEAR(GO5)=YEAR(GN5),"",YEAR(GO5))</f>
        <v/>
      </c>
      <c r="GP4" s="25" t="str">
        <f t="shared" ref="GP4" si="41">IF(YEAR(GP5)=YEAR(GO5),"",YEAR(GP5))</f>
        <v/>
      </c>
      <c r="GQ4" s="25" t="str">
        <f t="shared" ref="GQ4" si="42">IF(YEAR(GQ5)=YEAR(GP5),"",YEAR(GQ5))</f>
        <v/>
      </c>
      <c r="GR4" s="25" t="str">
        <f t="shared" ref="GR4" si="43">IF(YEAR(GR5)=YEAR(GQ5),"",YEAR(GR5))</f>
        <v/>
      </c>
      <c r="GS4" s="25" t="str">
        <f t="shared" ref="GS4" si="44">IF(YEAR(GS5)=YEAR(GR5),"",YEAR(GS5))</f>
        <v/>
      </c>
      <c r="GT4" s="25" t="str">
        <f t="shared" ref="GT4" si="45">IF(YEAR(GT5)=YEAR(GS5),"",YEAR(GT5))</f>
        <v/>
      </c>
      <c r="GU4" s="25" t="str">
        <f t="shared" ref="GU4" si="46">IF(YEAR(GU5)=YEAR(GT5),"",YEAR(GU5))</f>
        <v/>
      </c>
      <c r="GV4" s="25" t="str">
        <f t="shared" ref="GV4" si="47">IF(YEAR(GV5)=YEAR(GU5),"",YEAR(GV5))</f>
        <v/>
      </c>
      <c r="GW4" s="25" t="str">
        <f t="shared" ref="GW4" si="48">IF(YEAR(GW5)=YEAR(GV5),"",YEAR(GW5))</f>
        <v/>
      </c>
      <c r="GX4" s="25" t="str">
        <f t="shared" ref="GX4" si="49">IF(YEAR(GX5)=YEAR(GW5),"",YEAR(GX5))</f>
        <v/>
      </c>
      <c r="GY4" s="25" t="str">
        <f t="shared" ref="GY4" si="50">IF(YEAR(GY5)=YEAR(GX5),"",YEAR(GY5))</f>
        <v/>
      </c>
      <c r="GZ4" s="25" t="str">
        <f t="shared" ref="GZ4" si="51">IF(YEAR(GZ5)=YEAR(GY5),"",YEAR(GZ5))</f>
        <v/>
      </c>
      <c r="HA4" s="25" t="str">
        <f t="shared" ref="HA4" si="52">IF(YEAR(HA5)=YEAR(GZ5),"",YEAR(HA5))</f>
        <v/>
      </c>
      <c r="HB4" s="25" t="str">
        <f t="shared" ref="HB4" si="53">IF(YEAR(HB5)=YEAR(HA5),"",YEAR(HB5))</f>
        <v/>
      </c>
      <c r="HC4" s="25" t="str">
        <f t="shared" ref="HC4" si="54">IF(YEAR(HC5)=YEAR(HB5),"",YEAR(HC5))</f>
        <v/>
      </c>
      <c r="HD4" s="25" t="str">
        <f t="shared" ref="HD4" si="55">IF(YEAR(HD5)=YEAR(HC5),"",YEAR(HD5))</f>
        <v/>
      </c>
      <c r="HE4" s="25" t="str">
        <f t="shared" ref="HE4" si="56">IF(YEAR(HE5)=YEAR(HD5),"",YEAR(HE5))</f>
        <v/>
      </c>
      <c r="HF4" s="25" t="str">
        <f t="shared" ref="HF4" si="57">IF(YEAR(HF5)=YEAR(HE5),"",YEAR(HF5))</f>
        <v/>
      </c>
      <c r="HG4" s="25" t="str">
        <f t="shared" ref="HG4" si="58">IF(YEAR(HG5)=YEAR(HF5),"",YEAR(HG5))</f>
        <v/>
      </c>
      <c r="HH4" s="25" t="str">
        <f t="shared" ref="HH4" si="59">IF(YEAR(HH5)=YEAR(HG5),"",YEAR(HH5))</f>
        <v/>
      </c>
      <c r="HI4" s="25" t="str">
        <f t="shared" ref="HI4" si="60">IF(YEAR(HI5)=YEAR(HH5),"",YEAR(HI5))</f>
        <v/>
      </c>
      <c r="HJ4" s="25" t="str">
        <f t="shared" ref="HJ4" si="61">IF(YEAR(HJ5)=YEAR(HI5),"",YEAR(HJ5))</f>
        <v/>
      </c>
      <c r="HK4" s="25" t="str">
        <f t="shared" ref="HK4" si="62">IF(YEAR(HK5)=YEAR(HJ5),"",YEAR(HK5))</f>
        <v/>
      </c>
      <c r="HL4" s="25" t="str">
        <f t="shared" ref="HL4" si="63">IF(YEAR(HL5)=YEAR(HK5),"",YEAR(HL5))</f>
        <v/>
      </c>
      <c r="HM4" s="25" t="str">
        <f t="shared" ref="HM4" si="64">IF(YEAR(HM5)=YEAR(HL5),"",YEAR(HM5))</f>
        <v/>
      </c>
      <c r="HN4" s="25" t="str">
        <f t="shared" ref="HN4" si="65">IF(YEAR(HN5)=YEAR(HM5),"",YEAR(HN5))</f>
        <v/>
      </c>
      <c r="HO4" s="25" t="str">
        <f t="shared" ref="HO4" si="66">IF(YEAR(HO5)=YEAR(HN5),"",YEAR(HO5))</f>
        <v/>
      </c>
      <c r="HP4" s="25" t="str">
        <f t="shared" ref="HP4" si="67">IF(YEAR(HP5)=YEAR(HO5),"",YEAR(HP5))</f>
        <v/>
      </c>
      <c r="HQ4" s="25" t="str">
        <f t="shared" ref="HQ4" si="68">IF(YEAR(HQ5)=YEAR(HP5),"",YEAR(HQ5))</f>
        <v/>
      </c>
      <c r="HR4" s="25" t="str">
        <f t="shared" ref="HR4" si="69">IF(YEAR(HR5)=YEAR(HQ5),"",YEAR(HR5))</f>
        <v/>
      </c>
      <c r="HS4" s="25" t="str">
        <f t="shared" ref="HS4" si="70">IF(YEAR(HS5)=YEAR(HR5),"",YEAR(HS5))</f>
        <v/>
      </c>
      <c r="HT4" s="25" t="str">
        <f t="shared" ref="HT4" si="71">IF(YEAR(HT5)=YEAR(HS5),"",YEAR(HT5))</f>
        <v/>
      </c>
      <c r="HU4" s="25" t="str">
        <f t="shared" ref="HU4" si="72">IF(YEAR(HU5)=YEAR(HT5),"",YEAR(HU5))</f>
        <v/>
      </c>
      <c r="HV4" s="25" t="str">
        <f t="shared" ref="HV4" si="73">IF(YEAR(HV5)=YEAR(HU5),"",YEAR(HV5))</f>
        <v/>
      </c>
      <c r="HW4" s="25" t="str">
        <f t="shared" ref="HW4" si="74">IF(YEAR(HW5)=YEAR(HV5),"",YEAR(HW5))</f>
        <v/>
      </c>
      <c r="HX4" s="25" t="str">
        <f t="shared" ref="HX4" si="75">IF(YEAR(HX5)=YEAR(HW5),"",YEAR(HX5))</f>
        <v/>
      </c>
      <c r="HY4" s="25" t="str">
        <f t="shared" ref="HY4" si="76">IF(YEAR(HY5)=YEAR(HX5),"",YEAR(HY5))</f>
        <v/>
      </c>
      <c r="HZ4" s="25" t="str">
        <f t="shared" ref="HZ4" si="77">IF(YEAR(HZ5)=YEAR(HY5),"",YEAR(HZ5))</f>
        <v/>
      </c>
      <c r="IA4" s="25" t="str">
        <f t="shared" ref="IA4" si="78">IF(YEAR(IA5)=YEAR(HZ5),"",YEAR(IA5))</f>
        <v/>
      </c>
      <c r="IB4" s="25" t="str">
        <f t="shared" ref="IB4" si="79">IF(YEAR(IB5)=YEAR(IA5),"",YEAR(IB5))</f>
        <v/>
      </c>
      <c r="IC4" s="25" t="str">
        <f t="shared" ref="IC4" si="80">IF(YEAR(IC5)=YEAR(IB5),"",YEAR(IC5))</f>
        <v/>
      </c>
      <c r="ID4" s="25" t="str">
        <f t="shared" ref="ID4" si="81">IF(YEAR(ID5)=YEAR(IC5),"",YEAR(ID5))</f>
        <v/>
      </c>
      <c r="IE4" s="25" t="str">
        <f t="shared" ref="IE4" si="82">IF(YEAR(IE5)=YEAR(ID5),"",YEAR(IE5))</f>
        <v/>
      </c>
      <c r="IF4" s="25" t="str">
        <f t="shared" ref="IF4" si="83">IF(YEAR(IF5)=YEAR(IE5),"",YEAR(IF5))</f>
        <v/>
      </c>
      <c r="IG4" s="25" t="str">
        <f t="shared" ref="IG4" si="84">IF(YEAR(IG5)=YEAR(IF5),"",YEAR(IG5))</f>
        <v/>
      </c>
      <c r="IH4" s="25" t="str">
        <f t="shared" ref="IH4" si="85">IF(YEAR(IH5)=YEAR(IG5),"",YEAR(IH5))</f>
        <v/>
      </c>
      <c r="II4" s="25" t="str">
        <f t="shared" ref="II4" si="86">IF(YEAR(II5)=YEAR(IH5),"",YEAR(II5))</f>
        <v/>
      </c>
      <c r="IJ4" s="25" t="str">
        <f t="shared" ref="IJ4" si="87">IF(YEAR(IJ5)=YEAR(II5),"",YEAR(IJ5))</f>
        <v/>
      </c>
      <c r="IK4" s="25" t="str">
        <f t="shared" ref="IK4" si="88">IF(YEAR(IK5)=YEAR(IJ5),"",YEAR(IK5))</f>
        <v/>
      </c>
      <c r="IL4" s="25" t="str">
        <f t="shared" ref="IL4" si="89">IF(YEAR(IL5)=YEAR(IK5),"",YEAR(IL5))</f>
        <v/>
      </c>
      <c r="IM4" s="25" t="str">
        <f t="shared" ref="IM4" si="90">IF(YEAR(IM5)=YEAR(IL5),"",YEAR(IM5))</f>
        <v/>
      </c>
      <c r="IN4" s="25" t="str">
        <f t="shared" ref="IN4" si="91">IF(YEAR(IN5)=YEAR(IM5),"",YEAR(IN5))</f>
        <v/>
      </c>
      <c r="IO4" s="25" t="str">
        <f t="shared" ref="IO4" si="92">IF(YEAR(IO5)=YEAR(IN5),"",YEAR(IO5))</f>
        <v/>
      </c>
      <c r="IP4" s="25" t="str">
        <f t="shared" ref="IP4" si="93">IF(YEAR(IP5)=YEAR(IO5),"",YEAR(IP5))</f>
        <v/>
      </c>
      <c r="IQ4" s="25" t="str">
        <f t="shared" ref="IQ4" si="94">IF(YEAR(IQ5)=YEAR(IP5),"",YEAR(IQ5))</f>
        <v/>
      </c>
      <c r="IR4" s="25" t="str">
        <f t="shared" ref="IR4" si="95">IF(YEAR(IR5)=YEAR(IQ5),"",YEAR(IR5))</f>
        <v/>
      </c>
      <c r="IS4" s="25" t="str">
        <f t="shared" ref="IS4" si="96">IF(YEAR(IS5)=YEAR(IR5),"",YEAR(IS5))</f>
        <v/>
      </c>
      <c r="IT4" s="25" t="str">
        <f t="shared" ref="IT4" si="97">IF(YEAR(IT5)=YEAR(IS5),"",YEAR(IT5))</f>
        <v/>
      </c>
      <c r="IU4" s="25" t="str">
        <f t="shared" ref="IU4" si="98">IF(YEAR(IU5)=YEAR(IT5),"",YEAR(IU5))</f>
        <v/>
      </c>
      <c r="IV4" s="25" t="str">
        <f t="shared" ref="IV4" si="99">IF(YEAR(IV5)=YEAR(IU5),"",YEAR(IV5))</f>
        <v/>
      </c>
      <c r="IW4" s="25" t="str">
        <f t="shared" ref="IW4" si="100">IF(YEAR(IW5)=YEAR(IV5),"",YEAR(IW5))</f>
        <v/>
      </c>
      <c r="IX4" s="25" t="str">
        <f t="shared" ref="IX4" si="101">IF(YEAR(IX5)=YEAR(IW5),"",YEAR(IX5))</f>
        <v/>
      </c>
      <c r="IY4" s="25" t="str">
        <f t="shared" ref="IY4" si="102">IF(YEAR(IY5)=YEAR(IX5),"",YEAR(IY5))</f>
        <v/>
      </c>
      <c r="IZ4" s="25" t="str">
        <f t="shared" ref="IZ4" si="103">IF(YEAR(IZ5)=YEAR(IY5),"",YEAR(IZ5))</f>
        <v/>
      </c>
      <c r="JA4" s="25" t="str">
        <f t="shared" ref="JA4" si="104">IF(YEAR(JA5)=YEAR(IZ5),"",YEAR(JA5))</f>
        <v/>
      </c>
      <c r="JB4" s="25" t="str">
        <f t="shared" ref="JB4" si="105">IF(YEAR(JB5)=YEAR(JA5),"",YEAR(JB5))</f>
        <v/>
      </c>
      <c r="JC4" s="25" t="str">
        <f t="shared" ref="JC4" si="106">IF(YEAR(JC5)=YEAR(JB5),"",YEAR(JC5))</f>
        <v/>
      </c>
      <c r="JD4" s="25" t="str">
        <f t="shared" ref="JD4" si="107">IF(YEAR(JD5)=YEAR(JC5),"",YEAR(JD5))</f>
        <v/>
      </c>
      <c r="JE4" s="25" t="str">
        <f t="shared" ref="JE4" si="108">IF(YEAR(JE5)=YEAR(JD5),"",YEAR(JE5))</f>
        <v/>
      </c>
      <c r="JF4" s="25" t="str">
        <f t="shared" ref="JF4" si="109">IF(YEAR(JF5)=YEAR(JE5),"",YEAR(JF5))</f>
        <v/>
      </c>
      <c r="JG4" s="25" t="str">
        <f t="shared" ref="JG4" si="110">IF(YEAR(JG5)=YEAR(JF5),"",YEAR(JG5))</f>
        <v/>
      </c>
      <c r="JH4" s="25" t="str">
        <f t="shared" ref="JH4" si="111">IF(YEAR(JH5)=YEAR(JG5),"",YEAR(JH5))</f>
        <v/>
      </c>
      <c r="JI4" s="25" t="str">
        <f t="shared" ref="JI4" si="112">IF(YEAR(JI5)=YEAR(JH5),"",YEAR(JI5))</f>
        <v/>
      </c>
      <c r="JJ4" s="25" t="str">
        <f t="shared" ref="JJ4" si="113">IF(YEAR(JJ5)=YEAR(JI5),"",YEAR(JJ5))</f>
        <v/>
      </c>
      <c r="JK4" s="25" t="str">
        <f t="shared" ref="JK4" si="114">IF(YEAR(JK5)=YEAR(JJ5),"",YEAR(JK5))</f>
        <v/>
      </c>
      <c r="JL4" s="25" t="str">
        <f t="shared" ref="JL4" si="115">IF(YEAR(JL5)=YEAR(JK5),"",YEAR(JL5))</f>
        <v/>
      </c>
      <c r="JM4" s="25" t="str">
        <f t="shared" ref="JM4" si="116">IF(YEAR(JM5)=YEAR(JL5),"",YEAR(JM5))</f>
        <v/>
      </c>
      <c r="JN4" s="25" t="str">
        <f t="shared" ref="JN4" si="117">IF(YEAR(JN5)=YEAR(JM5),"",YEAR(JN5))</f>
        <v/>
      </c>
      <c r="JO4" s="25" t="str">
        <f t="shared" ref="JO4" si="118">IF(YEAR(JO5)=YEAR(JN5),"",YEAR(JO5))</f>
        <v/>
      </c>
      <c r="JP4" s="25" t="str">
        <f t="shared" ref="JP4" si="119">IF(YEAR(JP5)=YEAR(JO5),"",YEAR(JP5))</f>
        <v/>
      </c>
      <c r="JQ4" s="25" t="str">
        <f t="shared" ref="JQ4" si="120">IF(YEAR(JQ5)=YEAR(JP5),"",YEAR(JQ5))</f>
        <v/>
      </c>
      <c r="JR4" s="25" t="str">
        <f t="shared" ref="JR4" si="121">IF(YEAR(JR5)=YEAR(JQ5),"",YEAR(JR5))</f>
        <v/>
      </c>
      <c r="JS4" s="25" t="str">
        <f t="shared" ref="JS4" si="122">IF(YEAR(JS5)=YEAR(JR5),"",YEAR(JS5))</f>
        <v/>
      </c>
      <c r="JT4" s="25" t="str">
        <f t="shared" ref="JT4" si="123">IF(YEAR(JT5)=YEAR(JS5),"",YEAR(JT5))</f>
        <v/>
      </c>
      <c r="JU4" s="25" t="str">
        <f t="shared" ref="JU4" si="124">IF(YEAR(JU5)=YEAR(JT5),"",YEAR(JU5))</f>
        <v/>
      </c>
      <c r="JV4" s="25" t="str">
        <f t="shared" ref="JV4" si="125">IF(YEAR(JV5)=YEAR(JU5),"",YEAR(JV5))</f>
        <v/>
      </c>
      <c r="JW4" s="25" t="str">
        <f t="shared" ref="JW4" si="126">IF(YEAR(JW5)=YEAR(JV5),"",YEAR(JW5))</f>
        <v/>
      </c>
      <c r="JX4" s="25" t="str">
        <f t="shared" ref="JX4" si="127">IF(YEAR(JX5)=YEAR(JW5),"",YEAR(JX5))</f>
        <v/>
      </c>
      <c r="JY4" s="25" t="str">
        <f t="shared" ref="JY4" si="128">IF(YEAR(JY5)=YEAR(JX5),"",YEAR(JY5))</f>
        <v/>
      </c>
      <c r="JZ4" s="25" t="str">
        <f t="shared" ref="JZ4" si="129">IF(YEAR(JZ5)=YEAR(JY5),"",YEAR(JZ5))</f>
        <v/>
      </c>
      <c r="KA4" s="25" t="str">
        <f t="shared" ref="KA4" si="130">IF(YEAR(KA5)=YEAR(JZ5),"",YEAR(KA5))</f>
        <v/>
      </c>
      <c r="KB4" s="25" t="str">
        <f t="shared" ref="KB4" si="131">IF(YEAR(KB5)=YEAR(KA5),"",YEAR(KB5))</f>
        <v/>
      </c>
      <c r="KC4" s="25" t="str">
        <f t="shared" ref="KC4" si="132">IF(YEAR(KC5)=YEAR(KB5),"",YEAR(KC5))</f>
        <v/>
      </c>
      <c r="KD4" s="25" t="str">
        <f t="shared" ref="KD4" si="133">IF(YEAR(KD5)=YEAR(KC5),"",YEAR(KD5))</f>
        <v/>
      </c>
      <c r="KE4" s="25" t="str">
        <f t="shared" ref="KE4" si="134">IF(YEAR(KE5)=YEAR(KD5),"",YEAR(KE5))</f>
        <v/>
      </c>
      <c r="KF4" s="25" t="str">
        <f t="shared" ref="KF4" si="135">IF(YEAR(KF5)=YEAR(KE5),"",YEAR(KF5))</f>
        <v/>
      </c>
      <c r="KG4" s="25" t="str">
        <f t="shared" ref="KG4" si="136">IF(YEAR(KG5)=YEAR(KF5),"",YEAR(KG5))</f>
        <v/>
      </c>
      <c r="KH4" s="25" t="str">
        <f t="shared" ref="KH4" si="137">IF(YEAR(KH5)=YEAR(KG5),"",YEAR(KH5))</f>
        <v/>
      </c>
      <c r="KI4" s="25" t="str">
        <f t="shared" ref="KI4" si="138">IF(YEAR(KI5)=YEAR(KH5),"",YEAR(KI5))</f>
        <v/>
      </c>
      <c r="KJ4" s="25" t="str">
        <f t="shared" ref="KJ4" si="139">IF(YEAR(KJ5)=YEAR(KI5),"",YEAR(KJ5))</f>
        <v/>
      </c>
      <c r="KK4" s="25" t="str">
        <f t="shared" ref="KK4" si="140">IF(YEAR(KK5)=YEAR(KJ5),"",YEAR(KK5))</f>
        <v/>
      </c>
      <c r="KL4" s="25" t="str">
        <f t="shared" ref="KL4" si="141">IF(YEAR(KL5)=YEAR(KK5),"",YEAR(KL5))</f>
        <v/>
      </c>
      <c r="KM4" s="25" t="str">
        <f t="shared" ref="KM4" si="142">IF(YEAR(KM5)=YEAR(KL5),"",YEAR(KM5))</f>
        <v/>
      </c>
      <c r="KN4" s="25" t="str">
        <f t="shared" ref="KN4" si="143">IF(YEAR(KN5)=YEAR(KM5),"",YEAR(KN5))</f>
        <v/>
      </c>
      <c r="KO4" s="25" t="str">
        <f t="shared" ref="KO4" si="144">IF(YEAR(KO5)=YEAR(KN5),"",YEAR(KO5))</f>
        <v/>
      </c>
      <c r="KP4" s="25" t="str">
        <f t="shared" ref="KP4" si="145">IF(YEAR(KP5)=YEAR(KO5),"",YEAR(KP5))</f>
        <v/>
      </c>
      <c r="KQ4" s="25" t="str">
        <f t="shared" ref="KQ4" si="146">IF(YEAR(KQ5)=YEAR(KP5),"",YEAR(KQ5))</f>
        <v/>
      </c>
      <c r="KR4" s="25" t="str">
        <f t="shared" ref="KR4" si="147">IF(YEAR(KR5)=YEAR(KQ5),"",YEAR(KR5))</f>
        <v/>
      </c>
      <c r="KS4" s="25" t="str">
        <f t="shared" ref="KS4" si="148">IF(YEAR(KS5)=YEAR(KR5),"",YEAR(KS5))</f>
        <v/>
      </c>
      <c r="KT4" s="25" t="str">
        <f t="shared" ref="KT4" si="149">IF(YEAR(KT5)=YEAR(KS5),"",YEAR(KT5))</f>
        <v/>
      </c>
      <c r="KU4" s="25" t="str">
        <f t="shared" ref="KU4" si="150">IF(YEAR(KU5)=YEAR(KT5),"",YEAR(KU5))</f>
        <v/>
      </c>
      <c r="KV4" s="25" t="str">
        <f t="shared" ref="KV4" si="151">IF(YEAR(KV5)=YEAR(KU5),"",YEAR(KV5))</f>
        <v/>
      </c>
      <c r="KW4" s="25" t="str">
        <f t="shared" ref="KW4" si="152">IF(YEAR(KW5)=YEAR(KV5),"",YEAR(KW5))</f>
        <v/>
      </c>
      <c r="KX4" s="25" t="str">
        <f t="shared" ref="KX4" si="153">IF(YEAR(KX5)=YEAR(KW5),"",YEAR(KX5))</f>
        <v/>
      </c>
      <c r="KY4" s="25" t="str">
        <f t="shared" ref="KY4" si="154">IF(YEAR(KY5)=YEAR(KX5),"",YEAR(KY5))</f>
        <v/>
      </c>
      <c r="KZ4" s="25" t="str">
        <f t="shared" ref="KZ4" si="155">IF(YEAR(KZ5)=YEAR(KY5),"",YEAR(KZ5))</f>
        <v/>
      </c>
      <c r="LA4" s="25" t="str">
        <f t="shared" ref="LA4" si="156">IF(YEAR(LA5)=YEAR(KZ5),"",YEAR(LA5))</f>
        <v/>
      </c>
      <c r="LB4" s="25" t="str">
        <f t="shared" ref="LB4" si="157">IF(YEAR(LB5)=YEAR(LA5),"",YEAR(LB5))</f>
        <v/>
      </c>
      <c r="LC4" s="25" t="str">
        <f t="shared" ref="LC4" si="158">IF(YEAR(LC5)=YEAR(LB5),"",YEAR(LC5))</f>
        <v/>
      </c>
      <c r="LD4" s="25" t="str">
        <f t="shared" ref="LD4" si="159">IF(YEAR(LD5)=YEAR(LC5),"",YEAR(LD5))</f>
        <v/>
      </c>
      <c r="LE4" s="25" t="str">
        <f t="shared" ref="LE4" si="160">IF(YEAR(LE5)=YEAR(LD5),"",YEAR(LE5))</f>
        <v/>
      </c>
      <c r="LF4" s="25" t="str">
        <f t="shared" ref="LF4" si="161">IF(YEAR(LF5)=YEAR(LE5),"",YEAR(LF5))</f>
        <v/>
      </c>
      <c r="LG4" s="25" t="str">
        <f t="shared" ref="LG4" si="162">IF(YEAR(LG5)=YEAR(LF5),"",YEAR(LG5))</f>
        <v/>
      </c>
      <c r="LH4" s="25" t="str">
        <f t="shared" ref="LH4" si="163">IF(YEAR(LH5)=YEAR(LG5),"",YEAR(LH5))</f>
        <v/>
      </c>
      <c r="LI4" s="25" t="str">
        <f t="shared" ref="LI4" si="164">IF(YEAR(LI5)=YEAR(LH5),"",YEAR(LI5))</f>
        <v/>
      </c>
      <c r="LJ4" s="25" t="str">
        <f t="shared" ref="LJ4" si="165">IF(YEAR(LJ5)=YEAR(LI5),"",YEAR(LJ5))</f>
        <v/>
      </c>
      <c r="LK4" s="25" t="str">
        <f t="shared" ref="LK4" si="166">IF(YEAR(LK5)=YEAR(LJ5),"",YEAR(LK5))</f>
        <v/>
      </c>
      <c r="LL4" s="25" t="str">
        <f t="shared" ref="LL4" si="167">IF(YEAR(LL5)=YEAR(LK5),"",YEAR(LL5))</f>
        <v/>
      </c>
      <c r="LM4" s="25" t="str">
        <f t="shared" ref="LM4" si="168">IF(YEAR(LM5)=YEAR(LL5),"",YEAR(LM5))</f>
        <v/>
      </c>
      <c r="LN4" s="25" t="str">
        <f t="shared" ref="LN4" si="169">IF(YEAR(LN5)=YEAR(LM5),"",YEAR(LN5))</f>
        <v/>
      </c>
      <c r="LO4" s="25" t="str">
        <f t="shared" ref="LO4" si="170">IF(YEAR(LO5)=YEAR(LN5),"",YEAR(LO5))</f>
        <v/>
      </c>
      <c r="LP4" s="25" t="str">
        <f t="shared" ref="LP4" si="171">IF(YEAR(LP5)=YEAR(LO5),"",YEAR(LP5))</f>
        <v/>
      </c>
      <c r="LQ4" s="25" t="str">
        <f t="shared" ref="LQ4" si="172">IF(YEAR(LQ5)=YEAR(LP5),"",YEAR(LQ5))</f>
        <v/>
      </c>
      <c r="LR4" s="25" t="str">
        <f t="shared" ref="LR4" si="173">IF(YEAR(LR5)=YEAR(LQ5),"",YEAR(LR5))</f>
        <v/>
      </c>
      <c r="LS4" s="25" t="str">
        <f t="shared" ref="LS4" si="174">IF(YEAR(LS5)=YEAR(LR5),"",YEAR(LS5))</f>
        <v/>
      </c>
      <c r="LT4" s="25" t="str">
        <f t="shared" ref="LT4" si="175">IF(YEAR(LT5)=YEAR(LS5),"",YEAR(LT5))</f>
        <v/>
      </c>
      <c r="LU4" s="25" t="str">
        <f t="shared" ref="LU4" si="176">IF(YEAR(LU5)=YEAR(LT5),"",YEAR(LU5))</f>
        <v/>
      </c>
      <c r="LV4" s="25" t="str">
        <f t="shared" ref="LV4" si="177">IF(YEAR(LV5)=YEAR(LU5),"",YEAR(LV5))</f>
        <v/>
      </c>
      <c r="LW4" s="25" t="str">
        <f t="shared" ref="LW4" si="178">IF(YEAR(LW5)=YEAR(LV5),"",YEAR(LW5))</f>
        <v/>
      </c>
      <c r="LX4" s="25" t="str">
        <f t="shared" ref="LX4" si="179">IF(YEAR(LX5)=YEAR(LW5),"",YEAR(LX5))</f>
        <v/>
      </c>
      <c r="LY4" s="25" t="str">
        <f t="shared" ref="LY4" si="180">IF(YEAR(LY5)=YEAR(LX5),"",YEAR(LY5))</f>
        <v/>
      </c>
      <c r="LZ4" s="25" t="str">
        <f t="shared" ref="LZ4" si="181">IF(YEAR(LZ5)=YEAR(LY5),"",YEAR(LZ5))</f>
        <v/>
      </c>
      <c r="MA4" s="25" t="str">
        <f t="shared" ref="MA4" si="182">IF(YEAR(MA5)=YEAR(LZ5),"",YEAR(MA5))</f>
        <v/>
      </c>
      <c r="MB4" s="25" t="str">
        <f t="shared" ref="MB4" si="183">IF(YEAR(MB5)=YEAR(MA5),"",YEAR(MB5))</f>
        <v/>
      </c>
      <c r="MC4" s="25" t="str">
        <f t="shared" ref="MC4" si="184">IF(YEAR(MC5)=YEAR(MB5),"",YEAR(MC5))</f>
        <v/>
      </c>
      <c r="MD4" s="25" t="str">
        <f t="shared" ref="MD4" si="185">IF(YEAR(MD5)=YEAR(MC5),"",YEAR(MD5))</f>
        <v/>
      </c>
      <c r="ME4" s="25" t="str">
        <f t="shared" ref="ME4" si="186">IF(YEAR(ME5)=YEAR(MD5),"",YEAR(ME5))</f>
        <v/>
      </c>
      <c r="MF4" s="25" t="str">
        <f t="shared" ref="MF4" si="187">IF(YEAR(MF5)=YEAR(ME5),"",YEAR(MF5))</f>
        <v/>
      </c>
      <c r="MG4" s="25" t="str">
        <f t="shared" ref="MG4" si="188">IF(YEAR(MG5)=YEAR(MF5),"",YEAR(MG5))</f>
        <v/>
      </c>
      <c r="MH4" s="25" t="str">
        <f t="shared" ref="MH4" si="189">IF(YEAR(MH5)=YEAR(MG5),"",YEAR(MH5))</f>
        <v/>
      </c>
      <c r="MI4" s="25" t="str">
        <f t="shared" ref="MI4" si="190">IF(YEAR(MI5)=YEAR(MH5),"",YEAR(MI5))</f>
        <v/>
      </c>
      <c r="MJ4" s="25" t="str">
        <f t="shared" ref="MJ4" si="191">IF(YEAR(MJ5)=YEAR(MI5),"",YEAR(MJ5))</f>
        <v/>
      </c>
      <c r="MK4" s="25" t="str">
        <f t="shared" ref="MK4" si="192">IF(YEAR(MK5)=YEAR(MJ5),"",YEAR(MK5))</f>
        <v/>
      </c>
      <c r="ML4" s="25" t="str">
        <f t="shared" ref="ML4" si="193">IF(YEAR(ML5)=YEAR(MK5),"",YEAR(ML5))</f>
        <v/>
      </c>
      <c r="MM4" s="25" t="str">
        <f t="shared" ref="MM4" si="194">IF(YEAR(MM5)=YEAR(ML5),"",YEAR(MM5))</f>
        <v/>
      </c>
      <c r="MN4" s="25" t="str">
        <f t="shared" ref="MN4" si="195">IF(YEAR(MN5)=YEAR(MM5),"",YEAR(MN5))</f>
        <v/>
      </c>
      <c r="MO4" s="25" t="str">
        <f t="shared" ref="MO4" si="196">IF(YEAR(MO5)=YEAR(MN5),"",YEAR(MO5))</f>
        <v/>
      </c>
      <c r="MP4" s="25" t="str">
        <f t="shared" ref="MP4" si="197">IF(YEAR(MP5)=YEAR(MO5),"",YEAR(MP5))</f>
        <v/>
      </c>
      <c r="MQ4" s="25" t="str">
        <f t="shared" ref="MQ4" si="198">IF(YEAR(MQ5)=YEAR(MP5),"",YEAR(MQ5))</f>
        <v/>
      </c>
      <c r="MR4" s="25" t="str">
        <f t="shared" ref="MR4" si="199">IF(YEAR(MR5)=YEAR(MQ5),"",YEAR(MR5))</f>
        <v/>
      </c>
      <c r="MS4" s="25" t="str">
        <f t="shared" ref="MS4" si="200">IF(YEAR(MS5)=YEAR(MR5),"",YEAR(MS5))</f>
        <v/>
      </c>
      <c r="MT4" s="25" t="str">
        <f t="shared" ref="MT4" si="201">IF(YEAR(MT5)=YEAR(MS5),"",YEAR(MT5))</f>
        <v/>
      </c>
      <c r="MU4" s="25" t="str">
        <f t="shared" ref="MU4" si="202">IF(YEAR(MU5)=YEAR(MT5),"",YEAR(MU5))</f>
        <v/>
      </c>
      <c r="MV4" s="25" t="str">
        <f t="shared" ref="MV4" si="203">IF(YEAR(MV5)=YEAR(MU5),"",YEAR(MV5))</f>
        <v/>
      </c>
      <c r="MW4" s="25" t="str">
        <f t="shared" ref="MW4" si="204">IF(YEAR(MW5)=YEAR(MV5),"",YEAR(MW5))</f>
        <v/>
      </c>
      <c r="MX4" s="25" t="str">
        <f t="shared" ref="MX4" si="205">IF(YEAR(MX5)=YEAR(MW5),"",YEAR(MX5))</f>
        <v/>
      </c>
      <c r="MY4" s="25" t="str">
        <f t="shared" ref="MY4" si="206">IF(YEAR(MY5)=YEAR(MX5),"",YEAR(MY5))</f>
        <v/>
      </c>
      <c r="MZ4" s="25" t="str">
        <f t="shared" ref="MZ4" si="207">IF(YEAR(MZ5)=YEAR(MY5),"",YEAR(MZ5))</f>
        <v/>
      </c>
      <c r="NA4" s="25" t="str">
        <f t="shared" ref="NA4" si="208">IF(YEAR(NA5)=YEAR(MZ5),"",YEAR(NA5))</f>
        <v/>
      </c>
      <c r="NB4" s="25" t="str">
        <f t="shared" ref="NB4" si="209">IF(YEAR(NB5)=YEAR(NA5),"",YEAR(NB5))</f>
        <v/>
      </c>
      <c r="NC4" s="25" t="str">
        <f t="shared" ref="NC4" si="210">IF(YEAR(NC5)=YEAR(NB5),"",YEAR(NC5))</f>
        <v/>
      </c>
      <c r="ND4" s="25" t="str">
        <f t="shared" ref="ND4" si="211">IF(YEAR(ND5)=YEAR(NC5),"",YEAR(ND5))</f>
        <v/>
      </c>
      <c r="NE4" s="25" t="str">
        <f t="shared" ref="NE4" si="212">IF(YEAR(NE5)=YEAR(ND5),"",YEAR(NE5))</f>
        <v/>
      </c>
      <c r="NF4" s="25" t="str">
        <f t="shared" ref="NF4" si="213">IF(YEAR(NF5)=YEAR(NE5),"",YEAR(NF5))</f>
        <v/>
      </c>
      <c r="NG4" s="25" t="str">
        <f t="shared" ref="NG4" si="214">IF(YEAR(NG5)=YEAR(NF5),"",YEAR(NG5))</f>
        <v/>
      </c>
      <c r="NH4" s="25" t="str">
        <f t="shared" ref="NH4" si="215">IF(YEAR(NH5)=YEAR(NG5),"",YEAR(NH5))</f>
        <v/>
      </c>
      <c r="NI4" s="25" t="str">
        <f t="shared" ref="NI4" si="216">IF(YEAR(NI5)=YEAR(NH5),"",YEAR(NI5))</f>
        <v/>
      </c>
      <c r="NJ4" s="25" t="str">
        <f t="shared" ref="NJ4" si="217">IF(YEAR(NJ5)=YEAR(NI5),"",YEAR(NJ5))</f>
        <v/>
      </c>
      <c r="NK4" s="25" t="str">
        <f t="shared" ref="NK4" si="218">IF(YEAR(NK5)=YEAR(NJ5),"",YEAR(NK5))</f>
        <v/>
      </c>
      <c r="NL4" s="25" t="str">
        <f t="shared" ref="NL4" si="219">IF(YEAR(NL5)=YEAR(NK5),"",YEAR(NL5))</f>
        <v/>
      </c>
      <c r="NM4" s="25" t="str">
        <f t="shared" ref="NM4" si="220">IF(YEAR(NM5)=YEAR(NL5),"",YEAR(NM5))</f>
        <v/>
      </c>
      <c r="NN4" s="25" t="str">
        <f t="shared" ref="NN4" si="221">IF(YEAR(NN5)=YEAR(NM5),"",YEAR(NN5))</f>
        <v/>
      </c>
      <c r="NO4" s="25" t="str">
        <f t="shared" ref="NO4" si="222">IF(YEAR(NO5)=YEAR(NN5),"",YEAR(NO5))</f>
        <v/>
      </c>
      <c r="NP4" s="25" t="str">
        <f t="shared" ref="NP4" si="223">IF(YEAR(NP5)=YEAR(NO5),"",YEAR(NP5))</f>
        <v/>
      </c>
      <c r="NQ4" s="25" t="str">
        <f t="shared" ref="NQ4" si="224">IF(YEAR(NQ5)=YEAR(NP5),"",YEAR(NQ5))</f>
        <v/>
      </c>
      <c r="NR4" s="25" t="str">
        <f t="shared" ref="NR4" si="225">IF(YEAR(NR5)=YEAR(NQ5),"",YEAR(NR5))</f>
        <v/>
      </c>
      <c r="NS4" s="25" t="str">
        <f t="shared" ref="NS4" si="226">IF(YEAR(NS5)=YEAR(NR5),"",YEAR(NS5))</f>
        <v/>
      </c>
      <c r="NT4" s="25" t="str">
        <f t="shared" ref="NT4" si="227">IF(YEAR(NT5)=YEAR(NS5),"",YEAR(NT5))</f>
        <v/>
      </c>
      <c r="NU4" s="25" t="str">
        <f t="shared" ref="NU4" si="228">IF(YEAR(NU5)=YEAR(NT5),"",YEAR(NU5))</f>
        <v/>
      </c>
      <c r="NV4" s="25" t="str">
        <f t="shared" ref="NV4" si="229">IF(YEAR(NV5)=YEAR(NU5),"",YEAR(NV5))</f>
        <v/>
      </c>
      <c r="NW4" s="25" t="str">
        <f t="shared" ref="NW4" si="230">IF(YEAR(NW5)=YEAR(NV5),"",YEAR(NW5))</f>
        <v/>
      </c>
      <c r="NX4" s="25" t="str">
        <f t="shared" ref="NX4" si="231">IF(YEAR(NX5)=YEAR(NW5),"",YEAR(NX5))</f>
        <v/>
      </c>
      <c r="NY4" s="25" t="str">
        <f t="shared" ref="NY4" si="232">IF(YEAR(NY5)=YEAR(NX5),"",YEAR(NY5))</f>
        <v/>
      </c>
    </row>
    <row r="5" spans="2:389" ht="36.5" customHeight="1">
      <c r="B5" s="49"/>
      <c r="C5" s="49"/>
      <c r="D5" s="15" t="s">
        <v>15</v>
      </c>
      <c r="E5" s="15" t="s">
        <v>16</v>
      </c>
      <c r="F5" s="15" t="s">
        <v>18</v>
      </c>
      <c r="G5" s="16" t="s">
        <v>2</v>
      </c>
      <c r="H5" s="17" t="s">
        <v>15</v>
      </c>
      <c r="I5" s="17" t="s">
        <v>16</v>
      </c>
      <c r="J5" s="17" t="s">
        <v>18</v>
      </c>
      <c r="K5" s="18" t="s">
        <v>2</v>
      </c>
      <c r="L5" s="19" t="s">
        <v>15</v>
      </c>
      <c r="M5" s="19" t="s">
        <v>16</v>
      </c>
      <c r="N5" s="19" t="s">
        <v>18</v>
      </c>
      <c r="O5" s="20" t="s">
        <v>2</v>
      </c>
      <c r="P5" s="21" t="s">
        <v>15</v>
      </c>
      <c r="Q5" s="21" t="s">
        <v>16</v>
      </c>
      <c r="R5" s="21" t="s">
        <v>18</v>
      </c>
      <c r="S5" s="22" t="s">
        <v>2</v>
      </c>
      <c r="T5" s="23" t="s">
        <v>15</v>
      </c>
      <c r="U5" s="23" t="s">
        <v>16</v>
      </c>
      <c r="V5" s="23" t="s">
        <v>18</v>
      </c>
      <c r="W5" s="24" t="s">
        <v>2</v>
      </c>
      <c r="X5" s="47"/>
      <c r="Y5" s="26">
        <f>Input!$C$5</f>
        <v>44562</v>
      </c>
      <c r="Z5" s="26">
        <f>Y5+1</f>
        <v>44563</v>
      </c>
      <c r="AA5" s="26">
        <f t="shared" ref="AA5:CL5" si="233">Z5+1</f>
        <v>44564</v>
      </c>
      <c r="AB5" s="26">
        <f t="shared" si="233"/>
        <v>44565</v>
      </c>
      <c r="AC5" s="26">
        <f t="shared" si="233"/>
        <v>44566</v>
      </c>
      <c r="AD5" s="26">
        <f t="shared" si="233"/>
        <v>44567</v>
      </c>
      <c r="AE5" s="26">
        <f t="shared" si="233"/>
        <v>44568</v>
      </c>
      <c r="AF5" s="26">
        <f t="shared" si="233"/>
        <v>44569</v>
      </c>
      <c r="AG5" s="26">
        <f t="shared" si="233"/>
        <v>44570</v>
      </c>
      <c r="AH5" s="26">
        <f t="shared" si="233"/>
        <v>44571</v>
      </c>
      <c r="AI5" s="26">
        <f t="shared" si="233"/>
        <v>44572</v>
      </c>
      <c r="AJ5" s="26">
        <f t="shared" si="233"/>
        <v>44573</v>
      </c>
      <c r="AK5" s="26">
        <f t="shared" si="233"/>
        <v>44574</v>
      </c>
      <c r="AL5" s="26">
        <f t="shared" si="233"/>
        <v>44575</v>
      </c>
      <c r="AM5" s="26">
        <f t="shared" si="233"/>
        <v>44576</v>
      </c>
      <c r="AN5" s="26">
        <f t="shared" si="233"/>
        <v>44577</v>
      </c>
      <c r="AO5" s="26">
        <f t="shared" si="233"/>
        <v>44578</v>
      </c>
      <c r="AP5" s="26">
        <f t="shared" si="233"/>
        <v>44579</v>
      </c>
      <c r="AQ5" s="26">
        <f t="shared" si="233"/>
        <v>44580</v>
      </c>
      <c r="AR5" s="26">
        <f t="shared" si="233"/>
        <v>44581</v>
      </c>
      <c r="AS5" s="26">
        <f t="shared" si="233"/>
        <v>44582</v>
      </c>
      <c r="AT5" s="26">
        <f t="shared" si="233"/>
        <v>44583</v>
      </c>
      <c r="AU5" s="26">
        <f t="shared" si="233"/>
        <v>44584</v>
      </c>
      <c r="AV5" s="26">
        <f t="shared" si="233"/>
        <v>44585</v>
      </c>
      <c r="AW5" s="26">
        <f t="shared" si="233"/>
        <v>44586</v>
      </c>
      <c r="AX5" s="26">
        <f t="shared" si="233"/>
        <v>44587</v>
      </c>
      <c r="AY5" s="26">
        <f t="shared" si="233"/>
        <v>44588</v>
      </c>
      <c r="AZ5" s="26">
        <f t="shared" si="233"/>
        <v>44589</v>
      </c>
      <c r="BA5" s="26">
        <f t="shared" si="233"/>
        <v>44590</v>
      </c>
      <c r="BB5" s="26">
        <f t="shared" si="233"/>
        <v>44591</v>
      </c>
      <c r="BC5" s="26">
        <f t="shared" si="233"/>
        <v>44592</v>
      </c>
      <c r="BD5" s="26">
        <f t="shared" si="233"/>
        <v>44593</v>
      </c>
      <c r="BE5" s="26">
        <f t="shared" si="233"/>
        <v>44594</v>
      </c>
      <c r="BF5" s="26">
        <f t="shared" si="233"/>
        <v>44595</v>
      </c>
      <c r="BG5" s="26">
        <f t="shared" si="233"/>
        <v>44596</v>
      </c>
      <c r="BH5" s="26">
        <f t="shared" si="233"/>
        <v>44597</v>
      </c>
      <c r="BI5" s="26">
        <f t="shared" si="233"/>
        <v>44598</v>
      </c>
      <c r="BJ5" s="26">
        <f t="shared" si="233"/>
        <v>44599</v>
      </c>
      <c r="BK5" s="26">
        <f t="shared" si="233"/>
        <v>44600</v>
      </c>
      <c r="BL5" s="26">
        <f t="shared" si="233"/>
        <v>44601</v>
      </c>
      <c r="BM5" s="26">
        <f t="shared" si="233"/>
        <v>44602</v>
      </c>
      <c r="BN5" s="26">
        <f t="shared" si="233"/>
        <v>44603</v>
      </c>
      <c r="BO5" s="26">
        <f t="shared" si="233"/>
        <v>44604</v>
      </c>
      <c r="BP5" s="26">
        <f t="shared" si="233"/>
        <v>44605</v>
      </c>
      <c r="BQ5" s="26">
        <f t="shared" si="233"/>
        <v>44606</v>
      </c>
      <c r="BR5" s="26">
        <f t="shared" si="233"/>
        <v>44607</v>
      </c>
      <c r="BS5" s="26">
        <f t="shared" si="233"/>
        <v>44608</v>
      </c>
      <c r="BT5" s="26">
        <f t="shared" si="233"/>
        <v>44609</v>
      </c>
      <c r="BU5" s="26">
        <f t="shared" si="233"/>
        <v>44610</v>
      </c>
      <c r="BV5" s="26">
        <f t="shared" si="233"/>
        <v>44611</v>
      </c>
      <c r="BW5" s="26">
        <f t="shared" si="233"/>
        <v>44612</v>
      </c>
      <c r="BX5" s="26">
        <f t="shared" si="233"/>
        <v>44613</v>
      </c>
      <c r="BY5" s="26">
        <f t="shared" si="233"/>
        <v>44614</v>
      </c>
      <c r="BZ5" s="26">
        <f t="shared" si="233"/>
        <v>44615</v>
      </c>
      <c r="CA5" s="26">
        <f t="shared" si="233"/>
        <v>44616</v>
      </c>
      <c r="CB5" s="26">
        <f t="shared" si="233"/>
        <v>44617</v>
      </c>
      <c r="CC5" s="26">
        <f t="shared" si="233"/>
        <v>44618</v>
      </c>
      <c r="CD5" s="26">
        <f t="shared" si="233"/>
        <v>44619</v>
      </c>
      <c r="CE5" s="26">
        <f t="shared" si="233"/>
        <v>44620</v>
      </c>
      <c r="CF5" s="26">
        <f t="shared" si="233"/>
        <v>44621</v>
      </c>
      <c r="CG5" s="26">
        <f t="shared" si="233"/>
        <v>44622</v>
      </c>
      <c r="CH5" s="26">
        <f t="shared" si="233"/>
        <v>44623</v>
      </c>
      <c r="CI5" s="26">
        <f t="shared" si="233"/>
        <v>44624</v>
      </c>
      <c r="CJ5" s="26">
        <f t="shared" si="233"/>
        <v>44625</v>
      </c>
      <c r="CK5" s="26">
        <f t="shared" si="233"/>
        <v>44626</v>
      </c>
      <c r="CL5" s="26">
        <f t="shared" si="233"/>
        <v>44627</v>
      </c>
      <c r="CM5" s="26">
        <f t="shared" ref="CM5:EX5" si="234">CL5+1</f>
        <v>44628</v>
      </c>
      <c r="CN5" s="26">
        <f t="shared" si="234"/>
        <v>44629</v>
      </c>
      <c r="CO5" s="26">
        <f t="shared" si="234"/>
        <v>44630</v>
      </c>
      <c r="CP5" s="26">
        <f t="shared" si="234"/>
        <v>44631</v>
      </c>
      <c r="CQ5" s="26">
        <f t="shared" si="234"/>
        <v>44632</v>
      </c>
      <c r="CR5" s="26">
        <f t="shared" si="234"/>
        <v>44633</v>
      </c>
      <c r="CS5" s="26">
        <f t="shared" si="234"/>
        <v>44634</v>
      </c>
      <c r="CT5" s="26">
        <f t="shared" si="234"/>
        <v>44635</v>
      </c>
      <c r="CU5" s="26">
        <f t="shared" si="234"/>
        <v>44636</v>
      </c>
      <c r="CV5" s="26">
        <f t="shared" si="234"/>
        <v>44637</v>
      </c>
      <c r="CW5" s="26">
        <f t="shared" si="234"/>
        <v>44638</v>
      </c>
      <c r="CX5" s="26">
        <f t="shared" si="234"/>
        <v>44639</v>
      </c>
      <c r="CY5" s="26">
        <f t="shared" si="234"/>
        <v>44640</v>
      </c>
      <c r="CZ5" s="26">
        <f t="shared" si="234"/>
        <v>44641</v>
      </c>
      <c r="DA5" s="26">
        <f t="shared" si="234"/>
        <v>44642</v>
      </c>
      <c r="DB5" s="26">
        <f t="shared" si="234"/>
        <v>44643</v>
      </c>
      <c r="DC5" s="26">
        <f t="shared" si="234"/>
        <v>44644</v>
      </c>
      <c r="DD5" s="26">
        <f t="shared" si="234"/>
        <v>44645</v>
      </c>
      <c r="DE5" s="26">
        <f t="shared" si="234"/>
        <v>44646</v>
      </c>
      <c r="DF5" s="26">
        <f t="shared" si="234"/>
        <v>44647</v>
      </c>
      <c r="DG5" s="26">
        <f t="shared" si="234"/>
        <v>44648</v>
      </c>
      <c r="DH5" s="26">
        <f t="shared" si="234"/>
        <v>44649</v>
      </c>
      <c r="DI5" s="26">
        <f t="shared" si="234"/>
        <v>44650</v>
      </c>
      <c r="DJ5" s="26">
        <f t="shared" si="234"/>
        <v>44651</v>
      </c>
      <c r="DK5" s="26">
        <f t="shared" si="234"/>
        <v>44652</v>
      </c>
      <c r="DL5" s="26">
        <f t="shared" si="234"/>
        <v>44653</v>
      </c>
      <c r="DM5" s="26">
        <f t="shared" si="234"/>
        <v>44654</v>
      </c>
      <c r="DN5" s="26">
        <f t="shared" si="234"/>
        <v>44655</v>
      </c>
      <c r="DO5" s="26">
        <f t="shared" si="234"/>
        <v>44656</v>
      </c>
      <c r="DP5" s="26">
        <f t="shared" si="234"/>
        <v>44657</v>
      </c>
      <c r="DQ5" s="26">
        <f t="shared" si="234"/>
        <v>44658</v>
      </c>
      <c r="DR5" s="26">
        <f t="shared" si="234"/>
        <v>44659</v>
      </c>
      <c r="DS5" s="26">
        <f t="shared" si="234"/>
        <v>44660</v>
      </c>
      <c r="DT5" s="26">
        <f t="shared" si="234"/>
        <v>44661</v>
      </c>
      <c r="DU5" s="26">
        <f t="shared" si="234"/>
        <v>44662</v>
      </c>
      <c r="DV5" s="26">
        <f t="shared" si="234"/>
        <v>44663</v>
      </c>
      <c r="DW5" s="26">
        <f t="shared" si="234"/>
        <v>44664</v>
      </c>
      <c r="DX5" s="26">
        <f t="shared" si="234"/>
        <v>44665</v>
      </c>
      <c r="DY5" s="26">
        <f t="shared" si="234"/>
        <v>44666</v>
      </c>
      <c r="DZ5" s="26">
        <f t="shared" si="234"/>
        <v>44667</v>
      </c>
      <c r="EA5" s="26">
        <f t="shared" si="234"/>
        <v>44668</v>
      </c>
      <c r="EB5" s="26">
        <f t="shared" si="234"/>
        <v>44669</v>
      </c>
      <c r="EC5" s="26">
        <f t="shared" si="234"/>
        <v>44670</v>
      </c>
      <c r="ED5" s="26">
        <f t="shared" si="234"/>
        <v>44671</v>
      </c>
      <c r="EE5" s="26">
        <f t="shared" si="234"/>
        <v>44672</v>
      </c>
      <c r="EF5" s="26">
        <f t="shared" si="234"/>
        <v>44673</v>
      </c>
      <c r="EG5" s="26">
        <f t="shared" si="234"/>
        <v>44674</v>
      </c>
      <c r="EH5" s="26">
        <f t="shared" si="234"/>
        <v>44675</v>
      </c>
      <c r="EI5" s="26">
        <f t="shared" si="234"/>
        <v>44676</v>
      </c>
      <c r="EJ5" s="26">
        <f t="shared" si="234"/>
        <v>44677</v>
      </c>
      <c r="EK5" s="26">
        <f t="shared" si="234"/>
        <v>44678</v>
      </c>
      <c r="EL5" s="26">
        <f t="shared" si="234"/>
        <v>44679</v>
      </c>
      <c r="EM5" s="26">
        <f t="shared" si="234"/>
        <v>44680</v>
      </c>
      <c r="EN5" s="26">
        <f t="shared" si="234"/>
        <v>44681</v>
      </c>
      <c r="EO5" s="26">
        <f t="shared" si="234"/>
        <v>44682</v>
      </c>
      <c r="EP5" s="26">
        <f t="shared" si="234"/>
        <v>44683</v>
      </c>
      <c r="EQ5" s="26">
        <f t="shared" si="234"/>
        <v>44684</v>
      </c>
      <c r="ER5" s="26">
        <f t="shared" si="234"/>
        <v>44685</v>
      </c>
      <c r="ES5" s="26">
        <f t="shared" si="234"/>
        <v>44686</v>
      </c>
      <c r="ET5" s="26">
        <f t="shared" si="234"/>
        <v>44687</v>
      </c>
      <c r="EU5" s="26">
        <f t="shared" si="234"/>
        <v>44688</v>
      </c>
      <c r="EV5" s="26">
        <f t="shared" si="234"/>
        <v>44689</v>
      </c>
      <c r="EW5" s="26">
        <f t="shared" si="234"/>
        <v>44690</v>
      </c>
      <c r="EX5" s="26">
        <f t="shared" si="234"/>
        <v>44691</v>
      </c>
      <c r="EY5" s="26">
        <f t="shared" ref="EY5:FC5" si="235">EX5+1</f>
        <v>44692</v>
      </c>
      <c r="EZ5" s="26">
        <f t="shared" si="235"/>
        <v>44693</v>
      </c>
      <c r="FA5" s="26">
        <f t="shared" si="235"/>
        <v>44694</v>
      </c>
      <c r="FB5" s="26">
        <f t="shared" si="235"/>
        <v>44695</v>
      </c>
      <c r="FC5" s="26">
        <f t="shared" si="235"/>
        <v>44696</v>
      </c>
      <c r="FD5" s="26">
        <f t="shared" ref="FD5:HO5" si="236">FC5+1</f>
        <v>44697</v>
      </c>
      <c r="FE5" s="26">
        <f t="shared" si="236"/>
        <v>44698</v>
      </c>
      <c r="FF5" s="26">
        <f t="shared" si="236"/>
        <v>44699</v>
      </c>
      <c r="FG5" s="26">
        <f t="shared" si="236"/>
        <v>44700</v>
      </c>
      <c r="FH5" s="26">
        <f t="shared" si="236"/>
        <v>44701</v>
      </c>
      <c r="FI5" s="26">
        <f t="shared" si="236"/>
        <v>44702</v>
      </c>
      <c r="FJ5" s="26">
        <f t="shared" si="236"/>
        <v>44703</v>
      </c>
      <c r="FK5" s="26">
        <f t="shared" si="236"/>
        <v>44704</v>
      </c>
      <c r="FL5" s="26">
        <f t="shared" si="236"/>
        <v>44705</v>
      </c>
      <c r="FM5" s="26">
        <f t="shared" si="236"/>
        <v>44706</v>
      </c>
      <c r="FN5" s="26">
        <f t="shared" si="236"/>
        <v>44707</v>
      </c>
      <c r="FO5" s="26">
        <f t="shared" si="236"/>
        <v>44708</v>
      </c>
      <c r="FP5" s="26">
        <f t="shared" si="236"/>
        <v>44709</v>
      </c>
      <c r="FQ5" s="26">
        <f t="shared" si="236"/>
        <v>44710</v>
      </c>
      <c r="FR5" s="26">
        <f t="shared" si="236"/>
        <v>44711</v>
      </c>
      <c r="FS5" s="26">
        <f t="shared" si="236"/>
        <v>44712</v>
      </c>
      <c r="FT5" s="26">
        <f t="shared" si="236"/>
        <v>44713</v>
      </c>
      <c r="FU5" s="26">
        <f t="shared" si="236"/>
        <v>44714</v>
      </c>
      <c r="FV5" s="26">
        <f t="shared" si="236"/>
        <v>44715</v>
      </c>
      <c r="FW5" s="26">
        <f t="shared" si="236"/>
        <v>44716</v>
      </c>
      <c r="FX5" s="26">
        <f t="shared" si="236"/>
        <v>44717</v>
      </c>
      <c r="FY5" s="26">
        <f t="shared" si="236"/>
        <v>44718</v>
      </c>
      <c r="FZ5" s="26">
        <f t="shared" si="236"/>
        <v>44719</v>
      </c>
      <c r="GA5" s="26">
        <f t="shared" si="236"/>
        <v>44720</v>
      </c>
      <c r="GB5" s="26">
        <f t="shared" si="236"/>
        <v>44721</v>
      </c>
      <c r="GC5" s="26">
        <f t="shared" si="236"/>
        <v>44722</v>
      </c>
      <c r="GD5" s="26">
        <f t="shared" si="236"/>
        <v>44723</v>
      </c>
      <c r="GE5" s="26">
        <f t="shared" si="236"/>
        <v>44724</v>
      </c>
      <c r="GF5" s="26">
        <f t="shared" si="236"/>
        <v>44725</v>
      </c>
      <c r="GG5" s="26">
        <f t="shared" si="236"/>
        <v>44726</v>
      </c>
      <c r="GH5" s="26">
        <f t="shared" si="236"/>
        <v>44727</v>
      </c>
      <c r="GI5" s="26">
        <f t="shared" si="236"/>
        <v>44728</v>
      </c>
      <c r="GJ5" s="26">
        <f t="shared" si="236"/>
        <v>44729</v>
      </c>
      <c r="GK5" s="26">
        <f t="shared" si="236"/>
        <v>44730</v>
      </c>
      <c r="GL5" s="26">
        <f t="shared" si="236"/>
        <v>44731</v>
      </c>
      <c r="GM5" s="26">
        <f t="shared" si="236"/>
        <v>44732</v>
      </c>
      <c r="GN5" s="26">
        <f t="shared" si="236"/>
        <v>44733</v>
      </c>
      <c r="GO5" s="26">
        <f t="shared" si="236"/>
        <v>44734</v>
      </c>
      <c r="GP5" s="26">
        <f t="shared" si="236"/>
        <v>44735</v>
      </c>
      <c r="GQ5" s="26">
        <f t="shared" si="236"/>
        <v>44736</v>
      </c>
      <c r="GR5" s="26">
        <f t="shared" si="236"/>
        <v>44737</v>
      </c>
      <c r="GS5" s="26">
        <f t="shared" si="236"/>
        <v>44738</v>
      </c>
      <c r="GT5" s="26">
        <f t="shared" si="236"/>
        <v>44739</v>
      </c>
      <c r="GU5" s="26">
        <f t="shared" si="236"/>
        <v>44740</v>
      </c>
      <c r="GV5" s="26">
        <f t="shared" si="236"/>
        <v>44741</v>
      </c>
      <c r="GW5" s="26">
        <f t="shared" si="236"/>
        <v>44742</v>
      </c>
      <c r="GX5" s="26">
        <f t="shared" si="236"/>
        <v>44743</v>
      </c>
      <c r="GY5" s="26">
        <f t="shared" si="236"/>
        <v>44744</v>
      </c>
      <c r="GZ5" s="26">
        <f t="shared" si="236"/>
        <v>44745</v>
      </c>
      <c r="HA5" s="26">
        <f t="shared" si="236"/>
        <v>44746</v>
      </c>
      <c r="HB5" s="26">
        <f t="shared" si="236"/>
        <v>44747</v>
      </c>
      <c r="HC5" s="26">
        <f t="shared" si="236"/>
        <v>44748</v>
      </c>
      <c r="HD5" s="26">
        <f t="shared" si="236"/>
        <v>44749</v>
      </c>
      <c r="HE5" s="26">
        <f t="shared" si="236"/>
        <v>44750</v>
      </c>
      <c r="HF5" s="26">
        <f t="shared" si="236"/>
        <v>44751</v>
      </c>
      <c r="HG5" s="26">
        <f t="shared" si="236"/>
        <v>44752</v>
      </c>
      <c r="HH5" s="26">
        <f t="shared" si="236"/>
        <v>44753</v>
      </c>
      <c r="HI5" s="26">
        <f t="shared" si="236"/>
        <v>44754</v>
      </c>
      <c r="HJ5" s="26">
        <f t="shared" si="236"/>
        <v>44755</v>
      </c>
      <c r="HK5" s="26">
        <f t="shared" si="236"/>
        <v>44756</v>
      </c>
      <c r="HL5" s="26">
        <f t="shared" si="236"/>
        <v>44757</v>
      </c>
      <c r="HM5" s="26">
        <f t="shared" si="236"/>
        <v>44758</v>
      </c>
      <c r="HN5" s="26">
        <f t="shared" si="236"/>
        <v>44759</v>
      </c>
      <c r="HO5" s="26">
        <f t="shared" si="236"/>
        <v>44760</v>
      </c>
      <c r="HP5" s="26">
        <f t="shared" ref="HP5:KA5" si="237">HO5+1</f>
        <v>44761</v>
      </c>
      <c r="HQ5" s="26">
        <f t="shared" si="237"/>
        <v>44762</v>
      </c>
      <c r="HR5" s="26">
        <f t="shared" si="237"/>
        <v>44763</v>
      </c>
      <c r="HS5" s="26">
        <f t="shared" si="237"/>
        <v>44764</v>
      </c>
      <c r="HT5" s="26">
        <f t="shared" si="237"/>
        <v>44765</v>
      </c>
      <c r="HU5" s="26">
        <f t="shared" si="237"/>
        <v>44766</v>
      </c>
      <c r="HV5" s="26">
        <f t="shared" si="237"/>
        <v>44767</v>
      </c>
      <c r="HW5" s="26">
        <f t="shared" si="237"/>
        <v>44768</v>
      </c>
      <c r="HX5" s="26">
        <f t="shared" si="237"/>
        <v>44769</v>
      </c>
      <c r="HY5" s="26">
        <f t="shared" si="237"/>
        <v>44770</v>
      </c>
      <c r="HZ5" s="26">
        <f t="shared" si="237"/>
        <v>44771</v>
      </c>
      <c r="IA5" s="26">
        <f t="shared" si="237"/>
        <v>44772</v>
      </c>
      <c r="IB5" s="26">
        <f t="shared" si="237"/>
        <v>44773</v>
      </c>
      <c r="IC5" s="26">
        <f t="shared" si="237"/>
        <v>44774</v>
      </c>
      <c r="ID5" s="26">
        <f t="shared" si="237"/>
        <v>44775</v>
      </c>
      <c r="IE5" s="26">
        <f t="shared" si="237"/>
        <v>44776</v>
      </c>
      <c r="IF5" s="26">
        <f t="shared" si="237"/>
        <v>44777</v>
      </c>
      <c r="IG5" s="26">
        <f t="shared" si="237"/>
        <v>44778</v>
      </c>
      <c r="IH5" s="26">
        <f t="shared" si="237"/>
        <v>44779</v>
      </c>
      <c r="II5" s="26">
        <f t="shared" si="237"/>
        <v>44780</v>
      </c>
      <c r="IJ5" s="26">
        <f t="shared" si="237"/>
        <v>44781</v>
      </c>
      <c r="IK5" s="26">
        <f t="shared" si="237"/>
        <v>44782</v>
      </c>
      <c r="IL5" s="26">
        <f t="shared" si="237"/>
        <v>44783</v>
      </c>
      <c r="IM5" s="26">
        <f t="shared" si="237"/>
        <v>44784</v>
      </c>
      <c r="IN5" s="26">
        <f t="shared" si="237"/>
        <v>44785</v>
      </c>
      <c r="IO5" s="26">
        <f t="shared" si="237"/>
        <v>44786</v>
      </c>
      <c r="IP5" s="26">
        <f t="shared" si="237"/>
        <v>44787</v>
      </c>
      <c r="IQ5" s="26">
        <f t="shared" si="237"/>
        <v>44788</v>
      </c>
      <c r="IR5" s="26">
        <f t="shared" si="237"/>
        <v>44789</v>
      </c>
      <c r="IS5" s="26">
        <f t="shared" si="237"/>
        <v>44790</v>
      </c>
      <c r="IT5" s="26">
        <f t="shared" si="237"/>
        <v>44791</v>
      </c>
      <c r="IU5" s="26">
        <f t="shared" si="237"/>
        <v>44792</v>
      </c>
      <c r="IV5" s="26">
        <f t="shared" si="237"/>
        <v>44793</v>
      </c>
      <c r="IW5" s="26">
        <f t="shared" si="237"/>
        <v>44794</v>
      </c>
      <c r="IX5" s="26">
        <f t="shared" si="237"/>
        <v>44795</v>
      </c>
      <c r="IY5" s="26">
        <f t="shared" si="237"/>
        <v>44796</v>
      </c>
      <c r="IZ5" s="26">
        <f t="shared" si="237"/>
        <v>44797</v>
      </c>
      <c r="JA5" s="26">
        <f t="shared" si="237"/>
        <v>44798</v>
      </c>
      <c r="JB5" s="26">
        <f t="shared" si="237"/>
        <v>44799</v>
      </c>
      <c r="JC5" s="26">
        <f t="shared" si="237"/>
        <v>44800</v>
      </c>
      <c r="JD5" s="26">
        <f t="shared" si="237"/>
        <v>44801</v>
      </c>
      <c r="JE5" s="26">
        <f t="shared" si="237"/>
        <v>44802</v>
      </c>
      <c r="JF5" s="26">
        <f t="shared" si="237"/>
        <v>44803</v>
      </c>
      <c r="JG5" s="26">
        <f t="shared" si="237"/>
        <v>44804</v>
      </c>
      <c r="JH5" s="26">
        <f t="shared" si="237"/>
        <v>44805</v>
      </c>
      <c r="JI5" s="26">
        <f t="shared" si="237"/>
        <v>44806</v>
      </c>
      <c r="JJ5" s="26">
        <f t="shared" si="237"/>
        <v>44807</v>
      </c>
      <c r="JK5" s="26">
        <f t="shared" si="237"/>
        <v>44808</v>
      </c>
      <c r="JL5" s="26">
        <f t="shared" si="237"/>
        <v>44809</v>
      </c>
      <c r="JM5" s="26">
        <f t="shared" si="237"/>
        <v>44810</v>
      </c>
      <c r="JN5" s="26">
        <f t="shared" si="237"/>
        <v>44811</v>
      </c>
      <c r="JO5" s="26">
        <f t="shared" si="237"/>
        <v>44812</v>
      </c>
      <c r="JP5" s="26">
        <f t="shared" si="237"/>
        <v>44813</v>
      </c>
      <c r="JQ5" s="26">
        <f t="shared" si="237"/>
        <v>44814</v>
      </c>
      <c r="JR5" s="26">
        <f t="shared" si="237"/>
        <v>44815</v>
      </c>
      <c r="JS5" s="26">
        <f t="shared" si="237"/>
        <v>44816</v>
      </c>
      <c r="JT5" s="26">
        <f t="shared" si="237"/>
        <v>44817</v>
      </c>
      <c r="JU5" s="26">
        <f t="shared" si="237"/>
        <v>44818</v>
      </c>
      <c r="JV5" s="26">
        <f t="shared" si="237"/>
        <v>44819</v>
      </c>
      <c r="JW5" s="26">
        <f t="shared" si="237"/>
        <v>44820</v>
      </c>
      <c r="JX5" s="26">
        <f t="shared" si="237"/>
        <v>44821</v>
      </c>
      <c r="JY5" s="26">
        <f t="shared" si="237"/>
        <v>44822</v>
      </c>
      <c r="JZ5" s="26">
        <f t="shared" si="237"/>
        <v>44823</v>
      </c>
      <c r="KA5" s="26">
        <f t="shared" si="237"/>
        <v>44824</v>
      </c>
      <c r="KB5" s="26">
        <f t="shared" ref="KB5:MM5" si="238">KA5+1</f>
        <v>44825</v>
      </c>
      <c r="KC5" s="26">
        <f t="shared" si="238"/>
        <v>44826</v>
      </c>
      <c r="KD5" s="26">
        <f t="shared" si="238"/>
        <v>44827</v>
      </c>
      <c r="KE5" s="26">
        <f t="shared" si="238"/>
        <v>44828</v>
      </c>
      <c r="KF5" s="26">
        <f t="shared" si="238"/>
        <v>44829</v>
      </c>
      <c r="KG5" s="26">
        <f t="shared" si="238"/>
        <v>44830</v>
      </c>
      <c r="KH5" s="26">
        <f t="shared" si="238"/>
        <v>44831</v>
      </c>
      <c r="KI5" s="26">
        <f t="shared" si="238"/>
        <v>44832</v>
      </c>
      <c r="KJ5" s="26">
        <f t="shared" si="238"/>
        <v>44833</v>
      </c>
      <c r="KK5" s="26">
        <f t="shared" si="238"/>
        <v>44834</v>
      </c>
      <c r="KL5" s="26">
        <f t="shared" si="238"/>
        <v>44835</v>
      </c>
      <c r="KM5" s="26">
        <f t="shared" si="238"/>
        <v>44836</v>
      </c>
      <c r="KN5" s="26">
        <f t="shared" si="238"/>
        <v>44837</v>
      </c>
      <c r="KO5" s="26">
        <f t="shared" si="238"/>
        <v>44838</v>
      </c>
      <c r="KP5" s="26">
        <f t="shared" si="238"/>
        <v>44839</v>
      </c>
      <c r="KQ5" s="26">
        <f t="shared" si="238"/>
        <v>44840</v>
      </c>
      <c r="KR5" s="26">
        <f t="shared" si="238"/>
        <v>44841</v>
      </c>
      <c r="KS5" s="26">
        <f t="shared" si="238"/>
        <v>44842</v>
      </c>
      <c r="KT5" s="26">
        <f t="shared" si="238"/>
        <v>44843</v>
      </c>
      <c r="KU5" s="26">
        <f t="shared" si="238"/>
        <v>44844</v>
      </c>
      <c r="KV5" s="26">
        <f t="shared" si="238"/>
        <v>44845</v>
      </c>
      <c r="KW5" s="26">
        <f t="shared" si="238"/>
        <v>44846</v>
      </c>
      <c r="KX5" s="26">
        <f t="shared" si="238"/>
        <v>44847</v>
      </c>
      <c r="KY5" s="26">
        <f t="shared" si="238"/>
        <v>44848</v>
      </c>
      <c r="KZ5" s="26">
        <f t="shared" si="238"/>
        <v>44849</v>
      </c>
      <c r="LA5" s="26">
        <f t="shared" si="238"/>
        <v>44850</v>
      </c>
      <c r="LB5" s="26">
        <f t="shared" si="238"/>
        <v>44851</v>
      </c>
      <c r="LC5" s="26">
        <f t="shared" si="238"/>
        <v>44852</v>
      </c>
      <c r="LD5" s="26">
        <f t="shared" si="238"/>
        <v>44853</v>
      </c>
      <c r="LE5" s="26">
        <f t="shared" si="238"/>
        <v>44854</v>
      </c>
      <c r="LF5" s="26">
        <f t="shared" si="238"/>
        <v>44855</v>
      </c>
      <c r="LG5" s="26">
        <f t="shared" si="238"/>
        <v>44856</v>
      </c>
      <c r="LH5" s="26">
        <f t="shared" si="238"/>
        <v>44857</v>
      </c>
      <c r="LI5" s="26">
        <f t="shared" si="238"/>
        <v>44858</v>
      </c>
      <c r="LJ5" s="26">
        <f t="shared" si="238"/>
        <v>44859</v>
      </c>
      <c r="LK5" s="26">
        <f t="shared" si="238"/>
        <v>44860</v>
      </c>
      <c r="LL5" s="26">
        <f t="shared" si="238"/>
        <v>44861</v>
      </c>
      <c r="LM5" s="26">
        <f t="shared" si="238"/>
        <v>44862</v>
      </c>
      <c r="LN5" s="26">
        <f t="shared" si="238"/>
        <v>44863</v>
      </c>
      <c r="LO5" s="26">
        <f t="shared" si="238"/>
        <v>44864</v>
      </c>
      <c r="LP5" s="26">
        <f t="shared" si="238"/>
        <v>44865</v>
      </c>
      <c r="LQ5" s="26">
        <f t="shared" si="238"/>
        <v>44866</v>
      </c>
      <c r="LR5" s="26">
        <f t="shared" si="238"/>
        <v>44867</v>
      </c>
      <c r="LS5" s="26">
        <f t="shared" si="238"/>
        <v>44868</v>
      </c>
      <c r="LT5" s="26">
        <f t="shared" si="238"/>
        <v>44869</v>
      </c>
      <c r="LU5" s="26">
        <f t="shared" si="238"/>
        <v>44870</v>
      </c>
      <c r="LV5" s="26">
        <f t="shared" si="238"/>
        <v>44871</v>
      </c>
      <c r="LW5" s="26">
        <f t="shared" si="238"/>
        <v>44872</v>
      </c>
      <c r="LX5" s="26">
        <f t="shared" si="238"/>
        <v>44873</v>
      </c>
      <c r="LY5" s="26">
        <f t="shared" si="238"/>
        <v>44874</v>
      </c>
      <c r="LZ5" s="26">
        <f t="shared" si="238"/>
        <v>44875</v>
      </c>
      <c r="MA5" s="26">
        <f t="shared" si="238"/>
        <v>44876</v>
      </c>
      <c r="MB5" s="26">
        <f t="shared" si="238"/>
        <v>44877</v>
      </c>
      <c r="MC5" s="26">
        <f t="shared" si="238"/>
        <v>44878</v>
      </c>
      <c r="MD5" s="26">
        <f t="shared" si="238"/>
        <v>44879</v>
      </c>
      <c r="ME5" s="26">
        <f t="shared" si="238"/>
        <v>44880</v>
      </c>
      <c r="MF5" s="26">
        <f t="shared" si="238"/>
        <v>44881</v>
      </c>
      <c r="MG5" s="26">
        <f t="shared" si="238"/>
        <v>44882</v>
      </c>
      <c r="MH5" s="26">
        <f t="shared" si="238"/>
        <v>44883</v>
      </c>
      <c r="MI5" s="26">
        <f t="shared" si="238"/>
        <v>44884</v>
      </c>
      <c r="MJ5" s="26">
        <f t="shared" si="238"/>
        <v>44885</v>
      </c>
      <c r="MK5" s="26">
        <f t="shared" si="238"/>
        <v>44886</v>
      </c>
      <c r="ML5" s="26">
        <f t="shared" si="238"/>
        <v>44887</v>
      </c>
      <c r="MM5" s="26">
        <f t="shared" si="238"/>
        <v>44888</v>
      </c>
      <c r="MN5" s="26">
        <f t="shared" ref="MN5:NY5" si="239">MM5+1</f>
        <v>44889</v>
      </c>
      <c r="MO5" s="26">
        <f t="shared" si="239"/>
        <v>44890</v>
      </c>
      <c r="MP5" s="26">
        <f t="shared" si="239"/>
        <v>44891</v>
      </c>
      <c r="MQ5" s="26">
        <f t="shared" si="239"/>
        <v>44892</v>
      </c>
      <c r="MR5" s="26">
        <f t="shared" si="239"/>
        <v>44893</v>
      </c>
      <c r="MS5" s="26">
        <f t="shared" si="239"/>
        <v>44894</v>
      </c>
      <c r="MT5" s="26">
        <f t="shared" si="239"/>
        <v>44895</v>
      </c>
      <c r="MU5" s="26">
        <f t="shared" si="239"/>
        <v>44896</v>
      </c>
      <c r="MV5" s="26">
        <f t="shared" si="239"/>
        <v>44897</v>
      </c>
      <c r="MW5" s="26">
        <f t="shared" si="239"/>
        <v>44898</v>
      </c>
      <c r="MX5" s="26">
        <f t="shared" si="239"/>
        <v>44899</v>
      </c>
      <c r="MY5" s="26">
        <f t="shared" si="239"/>
        <v>44900</v>
      </c>
      <c r="MZ5" s="26">
        <f t="shared" si="239"/>
        <v>44901</v>
      </c>
      <c r="NA5" s="26">
        <f t="shared" si="239"/>
        <v>44902</v>
      </c>
      <c r="NB5" s="26">
        <f t="shared" si="239"/>
        <v>44903</v>
      </c>
      <c r="NC5" s="26">
        <f t="shared" si="239"/>
        <v>44904</v>
      </c>
      <c r="ND5" s="26">
        <f t="shared" si="239"/>
        <v>44905</v>
      </c>
      <c r="NE5" s="26">
        <f t="shared" si="239"/>
        <v>44906</v>
      </c>
      <c r="NF5" s="26">
        <f t="shared" si="239"/>
        <v>44907</v>
      </c>
      <c r="NG5" s="26">
        <f t="shared" si="239"/>
        <v>44908</v>
      </c>
      <c r="NH5" s="26">
        <f t="shared" si="239"/>
        <v>44909</v>
      </c>
      <c r="NI5" s="26">
        <f t="shared" si="239"/>
        <v>44910</v>
      </c>
      <c r="NJ5" s="26">
        <f t="shared" si="239"/>
        <v>44911</v>
      </c>
      <c r="NK5" s="26">
        <f t="shared" si="239"/>
        <v>44912</v>
      </c>
      <c r="NL5" s="26">
        <f t="shared" si="239"/>
        <v>44913</v>
      </c>
      <c r="NM5" s="26">
        <f t="shared" si="239"/>
        <v>44914</v>
      </c>
      <c r="NN5" s="26">
        <f t="shared" si="239"/>
        <v>44915</v>
      </c>
      <c r="NO5" s="26">
        <f t="shared" si="239"/>
        <v>44916</v>
      </c>
      <c r="NP5" s="26">
        <f t="shared" si="239"/>
        <v>44917</v>
      </c>
      <c r="NQ5" s="26">
        <f t="shared" si="239"/>
        <v>44918</v>
      </c>
      <c r="NR5" s="26">
        <f t="shared" si="239"/>
        <v>44919</v>
      </c>
      <c r="NS5" s="26">
        <f t="shared" si="239"/>
        <v>44920</v>
      </c>
      <c r="NT5" s="26">
        <f t="shared" si="239"/>
        <v>44921</v>
      </c>
      <c r="NU5" s="26">
        <f t="shared" si="239"/>
        <v>44922</v>
      </c>
      <c r="NV5" s="26">
        <f t="shared" si="239"/>
        <v>44923</v>
      </c>
      <c r="NW5" s="26">
        <f t="shared" si="239"/>
        <v>44924</v>
      </c>
      <c r="NX5" s="26">
        <f t="shared" si="239"/>
        <v>44925</v>
      </c>
      <c r="NY5" s="26">
        <f t="shared" si="239"/>
        <v>44926</v>
      </c>
    </row>
    <row r="6" spans="2:389" s="3" customFormat="1" ht="22" customHeight="1">
      <c r="B6" s="9" t="s">
        <v>20</v>
      </c>
      <c r="C6" s="12" t="s">
        <v>19</v>
      </c>
      <c r="D6" s="5">
        <v>44562</v>
      </c>
      <c r="E6" s="5">
        <v>44567</v>
      </c>
      <c r="F6" s="14">
        <f t="shared" ref="F6:F15" si="240">IF($B6&lt;&gt;"",IF(AND(D6&gt;0,E6&gt;0),E6-D6+1,""),"")</f>
        <v>6</v>
      </c>
      <c r="G6" s="8" t="str">
        <f t="shared" ref="G6:G15" ca="1" si="241">IF($B6&lt;&gt;"",IF(AND(D6&gt;0,E6&gt;0),IF(D6&gt;NOW(),"Not Initiated",IF(E6&lt;NOW(),"Completed","On Progress")),""),"")</f>
        <v>Completed</v>
      </c>
      <c r="H6" s="5">
        <v>44568</v>
      </c>
      <c r="I6" s="5">
        <v>44572</v>
      </c>
      <c r="J6" s="14">
        <f t="shared" ref="J6:J15" si="242">IF($B6&lt;&gt;"",IF(AND(H6&gt;0,I6&gt;0),I6-H6+1,""),"")</f>
        <v>5</v>
      </c>
      <c r="K6" s="8" t="str">
        <f t="shared" ref="K6:K15" ca="1" si="243">IF($B6&lt;&gt;"",IF(AND(H6&gt;0,I6&gt;0),IF(H6&gt;NOW(),"Not Initiated",IF(I6&lt;NOW(),"Completed","On Progress")),""),"")</f>
        <v>Completed</v>
      </c>
      <c r="L6" s="5">
        <v>44573</v>
      </c>
      <c r="M6" s="5">
        <v>44603</v>
      </c>
      <c r="N6" s="14">
        <f t="shared" ref="N6:N15" si="244">IF($B6&lt;&gt;"",IF(AND(L6&gt;0,M6&gt;0),M6-L6+1,""),"")</f>
        <v>31</v>
      </c>
      <c r="O6" s="8" t="str">
        <f ca="1">IF($B6&lt;&gt;"",IF(AND(L6="",M6=""),"",IF(L6&gt;NOW(),"Not Initiated",IF(M6&lt;NOW(),"Completed","On Progress"))),"")</f>
        <v>Completed</v>
      </c>
      <c r="P6" s="5">
        <v>44604</v>
      </c>
      <c r="Q6" s="5">
        <v>44609</v>
      </c>
      <c r="R6" s="14">
        <f t="shared" ref="R6:R15" si="245">IF($B6&lt;&gt;"",IF(AND(P6&gt;0,Q6&gt;0),Q6-P6+1,""),"")</f>
        <v>6</v>
      </c>
      <c r="S6" s="8" t="str">
        <f t="shared" ref="S6" ca="1" si="246">IF($B6&lt;&gt;"",IF(AND(P6="",Q6=""),"",IF(P6&gt;NOW(),"Not Initiated",IF(Q6&lt;NOW(),"Completed","On Progress"))),"")</f>
        <v>Completed</v>
      </c>
      <c r="T6" s="5">
        <v>44609</v>
      </c>
      <c r="U6" s="5">
        <v>44612</v>
      </c>
      <c r="V6" s="14">
        <f t="shared" ref="V6:V15" si="247">IF($B6&lt;&gt;"",IF(AND(T6&gt;0,U6&gt;0),U6-T6+1,""),"")</f>
        <v>4</v>
      </c>
      <c r="W6" s="11" t="str">
        <f t="shared" ref="W6" ca="1" si="248">IF($B6&lt;&gt;"",IF(AND(T6="",U6=""),"",IF(T6&gt;NOW(),"Not Initiated",IF(U6&lt;NOW(),"Completed","On Progress"))),"")</f>
        <v>Completed</v>
      </c>
      <c r="X6" s="13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</row>
    <row r="7" spans="2:389" s="3" customFormat="1" ht="22" customHeight="1">
      <c r="B7" s="9" t="s">
        <v>22</v>
      </c>
      <c r="C7" s="12" t="s">
        <v>23</v>
      </c>
      <c r="D7" s="5">
        <v>44724</v>
      </c>
      <c r="E7" s="5">
        <v>44729</v>
      </c>
      <c r="F7" s="14">
        <f>IF($B7&lt;&gt;"",IF(AND(D7&gt;0,E7&gt;0),E7-D7+1,""),"")</f>
        <v>6</v>
      </c>
      <c r="G7" s="8" t="str">
        <f ca="1">IF($B7&lt;&gt;"",IF(AND(D7&gt;0,E7&gt;0),IF(D7&gt;NOW(),"Not Initiated",IF(E7&lt;NOW(),"Completed","On Progress")),""),"")</f>
        <v>Completed</v>
      </c>
      <c r="H7" s="5">
        <v>44730</v>
      </c>
      <c r="I7" s="5">
        <v>44740</v>
      </c>
      <c r="J7" s="14">
        <f>IF($B7&lt;&gt;"",IF(AND(H7&gt;0,I7&gt;0),I7-H7+1,""),"")</f>
        <v>11</v>
      </c>
      <c r="K7" s="8" t="str">
        <f ca="1">IF($B7&lt;&gt;"",IF(AND(H7&gt;0,I7&gt;0),IF(H7&gt;NOW(),"Not Initiated",IF(I7&lt;NOW(),"Completed","On Progress")),""),"")</f>
        <v>Completed</v>
      </c>
      <c r="L7" s="5">
        <v>44741</v>
      </c>
      <c r="M7" s="5">
        <v>44831</v>
      </c>
      <c r="N7" s="14">
        <f>IF($B7&lt;&gt;"",IF(AND(L7&gt;0,M7&gt;0),M7-L7+1,""),"")</f>
        <v>91</v>
      </c>
      <c r="O7" s="8" t="str">
        <f ca="1">IF($B7&lt;&gt;"",IF(AND(L7="",M7=""),"",IF(L7&gt;NOW(),"Not Initiated",IF(M7&lt;NOW(),"Completed","On Progress"))),"")</f>
        <v>On Progress</v>
      </c>
      <c r="P7" s="5">
        <v>44832</v>
      </c>
      <c r="Q7" s="5">
        <v>44837</v>
      </c>
      <c r="R7" s="14">
        <f>IF($B7&lt;&gt;"",IF(AND(P7&gt;0,Q7&gt;0),Q7-P7+1,""),"")</f>
        <v>6</v>
      </c>
      <c r="S7" s="8" t="str">
        <f ca="1">IF($B7&lt;&gt;"",IF(AND(P7="",Q7=""),"",IF(P7&gt;NOW(),"Not Initiated",IF(Q7&lt;NOW(),"Completed","On Progress"))),"")</f>
        <v>Not Initiated</v>
      </c>
      <c r="T7" s="5">
        <v>44838</v>
      </c>
      <c r="U7" s="5">
        <v>44841</v>
      </c>
      <c r="V7" s="14">
        <f>IF($B7&lt;&gt;"",IF(AND(T7&gt;0,U7&gt;0),U7-T7+1,""),"")</f>
        <v>4</v>
      </c>
      <c r="W7" s="11" t="str">
        <f ca="1">IF($B7&lt;&gt;"",IF(AND(T7="",U7=""),"",IF(T7&gt;NOW(),"Not Initiated",IF(U7&lt;NOW(),"Completed","On Progress"))),"")</f>
        <v>Not Initiated</v>
      </c>
      <c r="X7" s="13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</row>
    <row r="8" spans="2:389" s="3" customFormat="1" ht="22" customHeight="1">
      <c r="B8" s="9"/>
      <c r="C8" s="12"/>
      <c r="D8" s="5"/>
      <c r="E8" s="5"/>
      <c r="F8" s="14" t="str">
        <f>IF($B8&lt;&gt;"",IF(AND(D8&gt;0,E8&gt;0),E8-D8+1,""),"")</f>
        <v/>
      </c>
      <c r="G8" s="8" t="str">
        <f ca="1">IF($B8&lt;&gt;"",IF(AND(D8&gt;0,E8&gt;0),IF(D8&gt;NOW(),"Not Initiated",IF(E8&lt;NOW(),"Completed","On Progress")),""),"")</f>
        <v/>
      </c>
      <c r="H8" s="5"/>
      <c r="I8" s="5"/>
      <c r="J8" s="14" t="str">
        <f>IF($B8&lt;&gt;"",IF(AND(H8&gt;0,I8&gt;0),I8-H8+1,""),"")</f>
        <v/>
      </c>
      <c r="K8" s="8" t="str">
        <f ca="1">IF($B8&lt;&gt;"",IF(AND(H8&gt;0,I8&gt;0),IF(H8&gt;NOW(),"Not Initiated",IF(I8&lt;NOW(),"Completed","On Progress")),""),"")</f>
        <v/>
      </c>
      <c r="L8" s="5"/>
      <c r="M8" s="5"/>
      <c r="N8" s="14" t="str">
        <f>IF($B8&lt;&gt;"",IF(AND(L8&gt;0,M8&gt;0),M8-L8+1,""),"")</f>
        <v/>
      </c>
      <c r="O8" s="8" t="str">
        <f ca="1">IF($B8&lt;&gt;"",IF(AND(L8="",M8=""),"",IF(L8&gt;NOW(),"Not Initiated",IF(M8&lt;NOW(),"Completed","On Progress"))),"")</f>
        <v/>
      </c>
      <c r="P8" s="5"/>
      <c r="Q8" s="5"/>
      <c r="R8" s="14" t="str">
        <f>IF($B8&lt;&gt;"",IF(AND(P8&gt;0,Q8&gt;0),Q8-P8+1,""),"")</f>
        <v/>
      </c>
      <c r="S8" s="8" t="str">
        <f ca="1">IF($B8&lt;&gt;"",IF(AND(P8="",Q8=""),"",IF(P8&gt;NOW(),"Not Initiated",IF(Q8&lt;NOW(),"Completed","On Progress"))),"")</f>
        <v/>
      </c>
      <c r="T8" s="5"/>
      <c r="U8" s="5"/>
      <c r="V8" s="14" t="str">
        <f>IF($B8&lt;&gt;"",IF(AND(T8&gt;0,U8&gt;0),U8-T8+1,""),"")</f>
        <v/>
      </c>
      <c r="W8" s="11" t="str">
        <f ca="1">IF($B8&lt;&gt;"",IF(AND(T8="",U8=""),"",IF(T8&gt;NOW(),"Not Initiated",IF(U8&lt;NOW(),"Completed","On Progress"))),"")</f>
        <v/>
      </c>
      <c r="X8" s="13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</row>
    <row r="9" spans="2:389" s="3" customFormat="1" ht="22" customHeight="1">
      <c r="B9" s="9"/>
      <c r="C9" s="12"/>
      <c r="D9" s="5"/>
      <c r="E9" s="5"/>
      <c r="F9" s="14" t="str">
        <f>IF($B9&lt;&gt;"",IF(AND(D9&gt;0,E9&gt;0),E9-D9+1,""),"")</f>
        <v/>
      </c>
      <c r="G9" s="8" t="str">
        <f ca="1">IF($B9&lt;&gt;"",IF(AND(D9&gt;0,E9&gt;0),IF(D9&gt;NOW(),"Not Initiated",IF(E9&lt;NOW(),"Completed","On Progress")),""),"")</f>
        <v/>
      </c>
      <c r="H9" s="5"/>
      <c r="I9" s="5"/>
      <c r="J9" s="14" t="str">
        <f>IF($B9&lt;&gt;"",IF(AND(H9&gt;0,I9&gt;0),I9-H9+1,""),"")</f>
        <v/>
      </c>
      <c r="K9" s="8" t="str">
        <f ca="1">IF($B9&lt;&gt;"",IF(AND(H9&gt;0,I9&gt;0),IF(H9&gt;NOW(),"Not Initiated",IF(I9&lt;NOW(),"Completed","On Progress")),""),"")</f>
        <v/>
      </c>
      <c r="L9" s="5"/>
      <c r="M9" s="5"/>
      <c r="N9" s="14" t="str">
        <f>IF($B9&lt;&gt;"",IF(AND(L9&gt;0,M9&gt;0),M9-L9+1,""),"")</f>
        <v/>
      </c>
      <c r="O9" s="8" t="str">
        <f ca="1">IF($B9&lt;&gt;"",IF(AND(L9="",M9=""),"",IF(L9&gt;NOW(),"Not Initiated",IF(M9&lt;NOW(),"Completed","On Progress"))),"")</f>
        <v/>
      </c>
      <c r="P9" s="5"/>
      <c r="Q9" s="5"/>
      <c r="R9" s="14" t="str">
        <f>IF($B9&lt;&gt;"",IF(AND(P9&gt;0,Q9&gt;0),Q9-P9+1,""),"")</f>
        <v/>
      </c>
      <c r="S9" s="8" t="str">
        <f ca="1">IF($B9&lt;&gt;"",IF(AND(P9="",Q9=""),"",IF(P9&gt;NOW(),"Not Initiated",IF(Q9&lt;NOW(),"Completed","On Progress"))),"")</f>
        <v/>
      </c>
      <c r="T9" s="5"/>
      <c r="U9" s="5"/>
      <c r="V9" s="14" t="str">
        <f>IF($B9&lt;&gt;"",IF(AND(T9&gt;0,U9&gt;0),U9-T9+1,""),"")</f>
        <v/>
      </c>
      <c r="W9" s="11" t="str">
        <f ca="1">IF($B9&lt;&gt;"",IF(AND(T9="",U9=""),"",IF(T9&gt;NOW(),"Not Initiated",IF(U9&lt;NOW(),"Completed","On Progress"))),"")</f>
        <v/>
      </c>
      <c r="X9" s="13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</row>
    <row r="10" spans="2:389" s="3" customFormat="1" ht="22" customHeight="1">
      <c r="B10" s="9"/>
      <c r="C10" s="12"/>
      <c r="D10" s="5"/>
      <c r="E10" s="5"/>
      <c r="F10" s="14" t="str">
        <f t="shared" si="240"/>
        <v/>
      </c>
      <c r="G10" s="8" t="str">
        <f t="shared" ca="1" si="241"/>
        <v/>
      </c>
      <c r="H10" s="5"/>
      <c r="I10" s="5"/>
      <c r="J10" s="14" t="str">
        <f t="shared" si="242"/>
        <v/>
      </c>
      <c r="K10" s="8" t="str">
        <f t="shared" ca="1" si="243"/>
        <v/>
      </c>
      <c r="L10" s="5"/>
      <c r="M10" s="5"/>
      <c r="N10" s="14" t="str">
        <f t="shared" si="244"/>
        <v/>
      </c>
      <c r="O10" s="8" t="str">
        <f t="shared" ref="O10:O15" ca="1" si="249">IF($B10&lt;&gt;"",IF(AND(L10="",M10=""),"",IF(L10&gt;NOW(),"Not Initiated",IF(M10&lt;NOW(),"Completed","On Progress"))),"")</f>
        <v/>
      </c>
      <c r="P10" s="5"/>
      <c r="Q10" s="5"/>
      <c r="R10" s="14" t="str">
        <f t="shared" si="245"/>
        <v/>
      </c>
      <c r="S10" s="8" t="str">
        <f t="shared" ref="S10:S15" ca="1" si="250">IF($B10&lt;&gt;"",IF(AND(P10="",Q10=""),"",IF(P10&gt;NOW(),"Not Initiated",IF(Q10&lt;NOW(),"Completed","On Progress"))),"")</f>
        <v/>
      </c>
      <c r="T10" s="5"/>
      <c r="U10" s="5"/>
      <c r="V10" s="14" t="str">
        <f t="shared" si="247"/>
        <v/>
      </c>
      <c r="W10" s="11" t="str">
        <f t="shared" ref="W10:W15" ca="1" si="251">IF($B10&lt;&gt;"",IF(AND(T10="",U10=""),"",IF(T10&gt;NOW(),"Not Initiated",IF(U10&lt;NOW(),"Completed","On Progress"))),"")</f>
        <v/>
      </c>
      <c r="X10" s="13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</row>
    <row r="11" spans="2:389" s="3" customFormat="1" ht="22" customHeight="1">
      <c r="B11" s="9"/>
      <c r="C11" s="12"/>
      <c r="D11" s="5"/>
      <c r="E11" s="5"/>
      <c r="F11" s="14" t="str">
        <f t="shared" si="240"/>
        <v/>
      </c>
      <c r="G11" s="8" t="str">
        <f t="shared" ca="1" si="241"/>
        <v/>
      </c>
      <c r="H11" s="5"/>
      <c r="I11" s="5"/>
      <c r="J11" s="14" t="str">
        <f t="shared" si="242"/>
        <v/>
      </c>
      <c r="K11" s="8" t="str">
        <f t="shared" ca="1" si="243"/>
        <v/>
      </c>
      <c r="L11" s="5"/>
      <c r="M11" s="5"/>
      <c r="N11" s="14" t="str">
        <f t="shared" si="244"/>
        <v/>
      </c>
      <c r="O11" s="8" t="str">
        <f t="shared" ca="1" si="249"/>
        <v/>
      </c>
      <c r="P11" s="5"/>
      <c r="Q11" s="5"/>
      <c r="R11" s="14" t="str">
        <f t="shared" si="245"/>
        <v/>
      </c>
      <c r="S11" s="8" t="str">
        <f t="shared" ca="1" si="250"/>
        <v/>
      </c>
      <c r="T11" s="5"/>
      <c r="U11" s="5"/>
      <c r="V11" s="14" t="str">
        <f t="shared" si="247"/>
        <v/>
      </c>
      <c r="W11" s="11" t="str">
        <f t="shared" ca="1" si="251"/>
        <v/>
      </c>
      <c r="X11" s="13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</row>
    <row r="12" spans="2:389" s="3" customFormat="1" ht="22" customHeight="1">
      <c r="B12" s="9"/>
      <c r="C12" s="12"/>
      <c r="D12" s="5"/>
      <c r="E12" s="5"/>
      <c r="F12" s="14" t="str">
        <f t="shared" si="240"/>
        <v/>
      </c>
      <c r="G12" s="8" t="str">
        <f t="shared" ca="1" si="241"/>
        <v/>
      </c>
      <c r="H12" s="5"/>
      <c r="I12" s="5"/>
      <c r="J12" s="14" t="str">
        <f t="shared" si="242"/>
        <v/>
      </c>
      <c r="K12" s="8" t="str">
        <f t="shared" ca="1" si="243"/>
        <v/>
      </c>
      <c r="L12" s="5"/>
      <c r="M12" s="5"/>
      <c r="N12" s="14" t="str">
        <f t="shared" si="244"/>
        <v/>
      </c>
      <c r="O12" s="8" t="str">
        <f t="shared" ca="1" si="249"/>
        <v/>
      </c>
      <c r="P12" s="5"/>
      <c r="Q12" s="5"/>
      <c r="R12" s="14" t="str">
        <f t="shared" si="245"/>
        <v/>
      </c>
      <c r="S12" s="8" t="str">
        <f t="shared" ca="1" si="250"/>
        <v/>
      </c>
      <c r="T12" s="5"/>
      <c r="U12" s="5"/>
      <c r="V12" s="14" t="str">
        <f t="shared" si="247"/>
        <v/>
      </c>
      <c r="W12" s="11" t="str">
        <f t="shared" ca="1" si="251"/>
        <v/>
      </c>
      <c r="X12" s="13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</row>
    <row r="13" spans="2:389" s="3" customFormat="1" ht="22" customHeight="1">
      <c r="B13" s="9"/>
      <c r="C13" s="12"/>
      <c r="D13" s="5"/>
      <c r="E13" s="5"/>
      <c r="F13" s="14" t="str">
        <f t="shared" si="240"/>
        <v/>
      </c>
      <c r="G13" s="8" t="str">
        <f t="shared" ca="1" si="241"/>
        <v/>
      </c>
      <c r="H13" s="5"/>
      <c r="I13" s="5"/>
      <c r="J13" s="14" t="str">
        <f t="shared" si="242"/>
        <v/>
      </c>
      <c r="K13" s="8" t="str">
        <f t="shared" ca="1" si="243"/>
        <v/>
      </c>
      <c r="L13" s="5"/>
      <c r="M13" s="5"/>
      <c r="N13" s="14" t="str">
        <f t="shared" si="244"/>
        <v/>
      </c>
      <c r="O13" s="8" t="str">
        <f t="shared" ca="1" si="249"/>
        <v/>
      </c>
      <c r="P13" s="5"/>
      <c r="Q13" s="5"/>
      <c r="R13" s="14" t="str">
        <f t="shared" si="245"/>
        <v/>
      </c>
      <c r="S13" s="8" t="str">
        <f t="shared" ca="1" si="250"/>
        <v/>
      </c>
      <c r="T13" s="5"/>
      <c r="U13" s="5"/>
      <c r="V13" s="14" t="str">
        <f t="shared" si="247"/>
        <v/>
      </c>
      <c r="W13" s="11" t="str">
        <f t="shared" ca="1" si="251"/>
        <v/>
      </c>
      <c r="X13" s="13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</row>
    <row r="14" spans="2:389" s="3" customFormat="1" ht="22" customHeight="1">
      <c r="B14" s="9"/>
      <c r="C14" s="12"/>
      <c r="D14" s="5"/>
      <c r="E14" s="5"/>
      <c r="F14" s="14" t="str">
        <f t="shared" si="240"/>
        <v/>
      </c>
      <c r="G14" s="8" t="str">
        <f t="shared" ca="1" si="241"/>
        <v/>
      </c>
      <c r="H14" s="5"/>
      <c r="I14" s="5"/>
      <c r="J14" s="14" t="str">
        <f t="shared" si="242"/>
        <v/>
      </c>
      <c r="K14" s="8" t="str">
        <f t="shared" ca="1" si="243"/>
        <v/>
      </c>
      <c r="L14" s="5"/>
      <c r="M14" s="5"/>
      <c r="N14" s="14" t="str">
        <f t="shared" si="244"/>
        <v/>
      </c>
      <c r="O14" s="8" t="str">
        <f t="shared" ca="1" si="249"/>
        <v/>
      </c>
      <c r="P14" s="5"/>
      <c r="Q14" s="5"/>
      <c r="R14" s="14" t="str">
        <f t="shared" si="245"/>
        <v/>
      </c>
      <c r="S14" s="8" t="str">
        <f t="shared" ca="1" si="250"/>
        <v/>
      </c>
      <c r="T14" s="5"/>
      <c r="U14" s="5"/>
      <c r="V14" s="14" t="str">
        <f t="shared" si="247"/>
        <v/>
      </c>
      <c r="W14" s="11" t="str">
        <f t="shared" ca="1" si="251"/>
        <v/>
      </c>
      <c r="X14" s="13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</row>
    <row r="15" spans="2:389" s="3" customFormat="1" ht="22" customHeight="1">
      <c r="B15" s="9"/>
      <c r="C15" s="12"/>
      <c r="D15" s="5"/>
      <c r="E15" s="5"/>
      <c r="F15" s="14" t="str">
        <f t="shared" si="240"/>
        <v/>
      </c>
      <c r="G15" s="8" t="str">
        <f t="shared" ca="1" si="241"/>
        <v/>
      </c>
      <c r="H15" s="5"/>
      <c r="I15" s="5"/>
      <c r="J15" s="14" t="str">
        <f t="shared" si="242"/>
        <v/>
      </c>
      <c r="K15" s="8" t="str">
        <f t="shared" ca="1" si="243"/>
        <v/>
      </c>
      <c r="L15" s="5"/>
      <c r="M15" s="5"/>
      <c r="N15" s="14" t="str">
        <f t="shared" si="244"/>
        <v/>
      </c>
      <c r="O15" s="8" t="str">
        <f t="shared" ca="1" si="249"/>
        <v/>
      </c>
      <c r="P15" s="5"/>
      <c r="Q15" s="5"/>
      <c r="R15" s="14" t="str">
        <f t="shared" si="245"/>
        <v/>
      </c>
      <c r="S15" s="8" t="str">
        <f t="shared" ca="1" si="250"/>
        <v/>
      </c>
      <c r="T15" s="5"/>
      <c r="U15" s="5"/>
      <c r="V15" s="14" t="str">
        <f t="shared" si="247"/>
        <v/>
      </c>
      <c r="W15" s="11" t="str">
        <f t="shared" ca="1" si="251"/>
        <v/>
      </c>
      <c r="X15" s="13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</row>
  </sheetData>
  <sheetProtection algorithmName="SHA-512" hashValue="7vwlkJSd1dDj0PNVYyuRZatke4q3acTz13ENWVzr7/pAxX87zmP9AXVSbI8WSI+ZEf8/wU3Ht9wZ55+V0EMAuQ==" saltValue="8D+xcqueojX5uPhtwjZZLg==" spinCount="100000" sheet="1" objects="1" scenarios="1" formatColumns="0" formatRows="0" sort="0" autoFilter="0"/>
  <sortState xmlns:xlrd2="http://schemas.microsoft.com/office/spreadsheetml/2017/richdata2" ref="B7:NY7">
    <sortCondition ref="B5"/>
  </sortState>
  <mergeCells count="7">
    <mergeCell ref="C4:C5"/>
    <mergeCell ref="B4:B5"/>
    <mergeCell ref="D4:G4"/>
    <mergeCell ref="T4:W4"/>
    <mergeCell ref="H4:K4"/>
    <mergeCell ref="P4:S4"/>
    <mergeCell ref="L4:O4"/>
  </mergeCells>
  <conditionalFormatting sqref="Y5:NY15">
    <cfRule type="expression" dxfId="9" priority="180">
      <formula>TODAY()-WEEKDAY(TODAY(),2)+1=Y$5</formula>
    </cfRule>
  </conditionalFormatting>
  <conditionalFormatting sqref="Y6:NY15">
    <cfRule type="expression" dxfId="8" priority="181">
      <formula>AND(Y$5&gt;=$D6,Y$5&lt;=$E6)</formula>
    </cfRule>
    <cfRule type="expression" dxfId="7" priority="182">
      <formula>AND(Y$5&gt;=$H6,Y$5&lt;=$I6)</formula>
    </cfRule>
    <cfRule type="expression" dxfId="6" priority="183">
      <formula>AND(Y$5&gt;=$L6,Y$5&lt;=$M6)</formula>
    </cfRule>
    <cfRule type="expression" dxfId="5" priority="189">
      <formula>AND(Y$5&gt;=$P6,Y$5&lt;=$Q6)</formula>
    </cfRule>
    <cfRule type="expression" dxfId="4" priority="203">
      <formula>AND(Y$5&gt;=$T6,Y$5&lt;=$U6)</formula>
    </cfRule>
  </conditionalFormatting>
  <conditionalFormatting sqref="S6:S15 W6:W15 G6:G15 K6:K15 O6:O15">
    <cfRule type="containsText" dxfId="3" priority="1" operator="containsText" text="Not Initiated">
      <formula>NOT(ISERROR(SEARCH("Not Initiated",G6)))</formula>
    </cfRule>
    <cfRule type="containsText" dxfId="2" priority="2" operator="containsText" text="Cancelled">
      <formula>NOT(ISERROR(SEARCH("Cancelled",G6)))</formula>
    </cfRule>
    <cfRule type="containsText" dxfId="1" priority="3" operator="containsText" text="On Progress">
      <formula>NOT(ISERROR(SEARCH("On Progress",G6)))</formula>
    </cfRule>
    <cfRule type="containsText" dxfId="0" priority="4" operator="containsText" text="Completed">
      <formula>NOT(ISERROR(SEARCH("Completed",G6)))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AA970C28C7BB64EB41E4E195B7E2085" ma:contentTypeVersion="5" ma:contentTypeDescription="Crear nuevo documento." ma:contentTypeScope="" ma:versionID="46f6079e82ad917d93ec2dfb560168a7">
  <xsd:schema xmlns:xsd="http://www.w3.org/2001/XMLSchema" xmlns:xs="http://www.w3.org/2001/XMLSchema" xmlns:p="http://schemas.microsoft.com/office/2006/metadata/properties" xmlns:ns2="d4ee2029-d8a6-4f31-ad50-bb7f51a84ed7" xmlns:ns3="1abe375a-03c3-4424-83fa-215be1f2b3e3" targetNamespace="http://schemas.microsoft.com/office/2006/metadata/properties" ma:root="true" ma:fieldsID="a5bb85a1be1c8382ecb7807a4812f790" ns2:_="" ns3:_="">
    <xsd:import namespace="d4ee2029-d8a6-4f31-ad50-bb7f51a84ed7"/>
    <xsd:import namespace="1abe375a-03c3-4424-83fa-215be1f2b3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ee2029-d8a6-4f31-ad50-bb7f51a84e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be375a-03c3-4424-83fa-215be1f2b3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FBC686B-DA05-493B-87D3-389B359285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52D6162-BB06-4A7E-8133-127F782DD5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ee2029-d8a6-4f31-ad50-bb7f51a84ed7"/>
    <ds:schemaRef ds:uri="1abe375a-03c3-4424-83fa-215be1f2b3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Gantt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Diego Manuel Ruales Aguilar</dc:creator>
  <cp:keywords/>
  <dc:description/>
  <cp:lastModifiedBy>Diego Manuel Ruales Aguilar</cp:lastModifiedBy>
  <cp:revision/>
  <dcterms:created xsi:type="dcterms:W3CDTF">2022-07-06T02:25:40Z</dcterms:created>
  <dcterms:modified xsi:type="dcterms:W3CDTF">2022-08-04T03:19:23Z</dcterms:modified>
  <cp:category/>
  <cp:contentStatus/>
</cp:coreProperties>
</file>